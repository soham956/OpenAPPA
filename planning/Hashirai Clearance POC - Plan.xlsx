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ries" sheetId="1" state="visible" r:id="rId1"/>
    <sheet name="Tasks" sheetId="2" state="visible" r:id="rId2"/>
    <sheet name="Agents" sheetId="3" state="visible" r:id="rId3"/>
    <sheet name="Calibration" sheetId="4" state="visible" r:id="rId4"/>
    <sheet name="Summary" sheetId="5" state="visible" r:id="rId5"/>
  </sheets>
  <definedNames>
    <definedName name="_xlnm._FilterDatabase" localSheetId="0" hidden="1">'Stories'!$A$1:$O$13</definedName>
    <definedName name="_xlnm._FilterDatabase" localSheetId="1" hidden="1">'Tasks'!$A$1:$V$62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#"/>
    <numFmt numFmtId="165" formatCode="0.0"/>
    <numFmt numFmtId="166" formatCode="yyyy-mm-dd hh:mm"/>
  </numFmts>
  <fonts count="8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  <font>
      <name val="Arial"/>
      <color rgb="000000FF"/>
      <sz val="10"/>
    </font>
    <font>
      <name val="Arial"/>
      <i val="1"/>
      <sz val="9"/>
    </font>
    <font>
      <name val="Arial"/>
      <color rgb="00008000"/>
      <sz val="10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8EEF5"/>
      </patternFill>
    </fill>
    <fill>
      <patternFill patternType="solid">
        <fgColor rgb="00FFF6C8"/>
      </patternFill>
    </fill>
  </fills>
  <borders count="2">
    <border>
      <left/>
      <right/>
      <top/>
      <bottom/>
      <diagonal/>
    </border>
    <border>
      <left style="thin">
        <color rgb="00C8CED6"/>
      </left>
      <right style="thin">
        <color rgb="00C8CED6"/>
      </right>
      <top style="thin">
        <color rgb="00C8CED6"/>
      </top>
      <bottom style="thin">
        <color rgb="00C8CED6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164" fontId="5" fillId="0" borderId="1" applyAlignment="1" pivotButton="0" quotePrefix="0" xfId="0">
      <alignment vertical="top" wrapText="1"/>
    </xf>
    <xf numFmtId="2" fontId="2" fillId="0" borderId="1" applyAlignment="1" pivotButton="0" quotePrefix="0" xfId="0">
      <alignment vertical="top" wrapText="1"/>
    </xf>
    <xf numFmtId="164" fontId="2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165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164" fontId="3" fillId="3" borderId="1" applyAlignment="1" pivotButton="0" quotePrefix="0" xfId="0">
      <alignment vertical="top" wrapText="1"/>
    </xf>
    <xf numFmtId="2" fontId="3" fillId="3" borderId="1" applyAlignment="1" pivotButton="0" quotePrefix="0" xfId="0">
      <alignment vertical="top" wrapText="1"/>
    </xf>
    <xf numFmtId="165" fontId="3" fillId="3" borderId="1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166" fontId="2" fillId="4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2" fontId="5" fillId="0" borderId="1" applyAlignment="1" pivotButton="0" quotePrefix="0" xfId="0">
      <alignment vertical="top" wrapText="1"/>
    </xf>
    <xf numFmtId="0" fontId="3" fillId="0" borderId="0" pivotButton="0" quotePrefix="0" xfId="0"/>
    <xf numFmtId="0" fontId="7" fillId="0" borderId="1" applyAlignment="1" pivotButton="0" quotePrefix="0" xfId="0">
      <alignment vertical="top" wrapText="1"/>
    </xf>
    <xf numFmtId="164" fontId="7" fillId="0" borderId="1" applyAlignment="1" pivotButton="0" quotePrefix="0" xfId="0">
      <alignment vertical="top" wrapText="1"/>
    </xf>
    <xf numFmtId="1" fontId="5" fillId="0" borderId="1" applyAlignment="1" pivotButton="0" quotePrefix="0" xfId="0">
      <alignment vertical="top" wrapText="1"/>
    </xf>
    <xf numFmtId="1" fontId="2" fillId="0" borderId="1" applyAlignment="1" pivotButton="0" quotePrefix="0" xfId="0">
      <alignment vertical="top" wrapText="1"/>
    </xf>
    <xf numFmtId="1" fontId="3" fillId="3" borderId="1" applyAlignment="1" pivotButton="0" quotePrefix="0" xfId="0">
      <alignment vertical="top" wrapText="1"/>
    </xf>
    <xf numFmtId="0" fontId="2" fillId="0" borderId="0" pivotButton="0" quotePrefix="0" xfId="0"/>
    <xf numFmtId="166" fontId="5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Orchestrator</author>
  </authors>
  <commentList>
    <comment ref="N1" authorId="0" shapeId="0">
      <text>
        <t>Implementer's logged start time (local). Fill in.</t>
      </text>
    </comment>
  </commentList>
</comments>
</file>

<file path=xl/comments/comment2.xml><?xml version="1.0" encoding="utf-8"?>
<comments xmlns="http://schemas.openxmlformats.org/spreadsheetml/2006/main">
  <authors>
    <author>Orchestrator</author>
  </authors>
  <commentList>
    <comment ref="D6" authorId="0" shapeId="0">
      <text>
        <t>Fixed rule from Soham (brief).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48" customWidth="1" min="3" max="3"/>
    <col width="60" customWidth="1" min="4" max="4"/>
    <col width="9" customWidth="1" min="5" max="5"/>
    <col width="11" customWidth="1" min="6" max="6"/>
    <col width="8" customWidth="1" min="7" max="7"/>
    <col width="10" customWidth="1" min="8" max="8"/>
    <col width="9" customWidth="1" min="9" max="9"/>
    <col width="11" customWidth="1" min="10" max="10"/>
    <col width="9" customWidth="1" min="11" max="11"/>
    <col width="11" customWidth="1" min="12" max="12"/>
    <col width="10" customWidth="1" min="13" max="13"/>
    <col width="11" customWidth="1" min="14" max="14"/>
    <col width="9" customWidth="1" min="15" max="15"/>
  </cols>
  <sheetData>
    <row r="1" ht="32" customHeight="1">
      <c r="A1" s="1" t="inlineStr">
        <is>
          <t>ID</t>
        </is>
      </c>
      <c r="B1" s="1" t="inlineStr">
        <is>
          <t>Demo step</t>
        </is>
      </c>
      <c r="C1" s="1" t="inlineStr">
        <is>
          <t>Story</t>
        </is>
      </c>
      <c r="D1" s="1" t="inlineStr">
        <is>
          <t>Acceptance criteria</t>
        </is>
      </c>
      <c r="E1" s="1" t="inlineStr">
        <is>
          <t>Baseline SP</t>
        </is>
      </c>
      <c r="F1" s="1" t="inlineStr">
        <is>
          <t>Model</t>
        </is>
      </c>
      <c r="G1" s="1" t="inlineStr">
        <is>
          <t>Effort</t>
        </is>
      </c>
      <c r="H1" s="1" t="inlineStr">
        <is>
          <t>Multiplier</t>
        </is>
      </c>
      <c r="I1" s="1" t="inlineStr">
        <is>
          <t>Adjusted SP</t>
        </is>
      </c>
      <c r="J1" s="1" t="inlineStr">
        <is>
          <t>Status</t>
        </is>
      </c>
      <c r="K1" s="1" t="inlineStr">
        <is>
          <t>Accepted (Y/N)</t>
        </is>
      </c>
      <c r="L1" s="1" t="inlineStr">
        <is>
          <t>Actual runtime (min)</t>
        </is>
      </c>
      <c r="M1" s="1" t="inlineStr">
        <is>
          <t>Raw actual SP</t>
        </is>
      </c>
      <c r="N1" s="1" t="inlineStr">
        <is>
          <t>Normalised actual SP</t>
        </is>
      </c>
      <c r="O1" s="1" t="inlineStr">
        <is>
          <t>Variance</t>
        </is>
      </c>
    </row>
    <row r="2">
      <c r="A2" s="2" t="inlineStr">
        <is>
          <t>S1</t>
        </is>
      </c>
      <c r="B2" s="2" t="inlineStr">
        <is>
          <t>all</t>
        </is>
      </c>
      <c r="C2" s="2" t="inlineStr">
        <is>
          <t>Project scaffold in the fork: Node 22 TS package, npm scripts (`start`, `agent`, `reset`, `drop`, `compare`, `test`), `.env.example`, `.gitignore` for `.env` and `secrets/`, CI running unit tests, `appa describe --check` and `appa replay policy-tests/`</t>
        </is>
      </c>
      <c r="D2" s="2" t="inlineStr">
        <is>
          <t>`npm test` passes on a fresh clone; CI is green on the first PR; `git check-ignore .env secrets/x` matches both; no secret in the repo</t>
        </is>
      </c>
      <c r="E2" s="3" t="n">
        <v>2</v>
      </c>
      <c r="F2" s="2" t="inlineStr">
        <is>
          <t>Opus 5.5</t>
        </is>
      </c>
      <c r="G2" s="2" t="inlineStr">
        <is>
          <t>medium</t>
        </is>
      </c>
      <c r="H2" s="4">
        <f>INDEX(Calibration!$D$5:$D$11,MATCH(F2&amp;" "&amp;G2,Calibration!$A$5:$A$11,0))</f>
        <v/>
      </c>
      <c r="I2" s="5">
        <f>E2*H2</f>
        <v/>
      </c>
      <c r="J2" s="6" t="inlineStr">
        <is>
          <t>Done</t>
        </is>
      </c>
      <c r="K2" s="6" t="inlineStr">
        <is>
          <t>Y</t>
        </is>
      </c>
      <c r="L2" s="7">
        <f>SUMIFS(Tasks!$P$2:$P$62,Tasks!$B$2:$B$62,A2)</f>
        <v/>
      </c>
      <c r="M2" s="5">
        <f>IF(K2="Y",SUMIFS(Tasks!$T$2:$T$62,Tasks!$B$2:$B$62,A2),"")</f>
        <v/>
      </c>
      <c r="N2" s="5">
        <f>IF(K2="Y",SUMIFS(Tasks!$U$2:$U$62,Tasks!$B$2:$B$62,A2),"")</f>
        <v/>
      </c>
      <c r="O2" s="5">
        <f>IF(N2="","",N2-E2)</f>
        <v/>
      </c>
    </row>
    <row r="3">
      <c r="A3" s="2" t="inlineStr">
        <is>
          <t>S2</t>
        </is>
      </c>
      <c r="B3" s="2" t="inlineStr">
        <is>
          <t>inputs, 1, 3</t>
        </is>
      </c>
      <c r="C3" s="2" t="inlineStr">
        <is>
          <t>Write the 11 synthetic seed files listed in the demo script</t>
        </is>
      </c>
      <c r="D3" s="2" t="inlineStr">
        <is>
          <t>All 11 exist with the demo-script names; each starts with SPECIMEN; only 08 and 09 match `SPC-\d{4}-\d{4}`; 01 contains `Matter Ref: LM-2026-0417`; all names are fictional</t>
        </is>
      </c>
      <c r="E3" s="3" t="n">
        <v>1</v>
      </c>
      <c r="F3" s="2" t="inlineStr">
        <is>
          <t>Sonnet 5.5</t>
        </is>
      </c>
      <c r="G3" s="2" t="inlineStr">
        <is>
          <t>medium</t>
        </is>
      </c>
      <c r="H3" s="4">
        <f>INDEX(Calibration!$D$5:$D$11,MATCH(F3&amp;" "&amp;G3,Calibration!$A$5:$A$11,0))</f>
        <v/>
      </c>
      <c r="I3" s="5">
        <f>E3*H3</f>
        <v/>
      </c>
      <c r="J3" s="6" t="inlineStr">
        <is>
          <t>Done</t>
        </is>
      </c>
      <c r="K3" s="6" t="inlineStr">
        <is>
          <t>Y</t>
        </is>
      </c>
      <c r="L3" s="7">
        <f>SUMIFS(Tasks!$P$2:$P$62,Tasks!$B$2:$B$62,A3)</f>
        <v/>
      </c>
      <c r="M3" s="5">
        <f>IF(K3="Y",SUMIFS(Tasks!$T$2:$T$62,Tasks!$B$2:$B$62,A3),"")</f>
        <v/>
      </c>
      <c r="N3" s="5">
        <f>IF(K3="Y",SUMIFS(Tasks!$U$2:$U$62,Tasks!$B$2:$B$62,A3),"")</f>
        <v/>
      </c>
      <c r="O3" s="5">
        <f>IF(N3="","",N3-E3)</f>
        <v/>
      </c>
    </row>
    <row r="4">
      <c r="A4" s="2" t="inlineStr">
        <is>
          <t>S3</t>
        </is>
      </c>
      <c r="B4" s="2" t="inlineStr">
        <is>
          <t>setup, 0, 1, 3</t>
        </is>
      </c>
      <c r="C4" s="2" t="inlineStr">
        <is>
          <t>Drive client: list root, read, move, upload, trash, ensure subfolders. Auth is chosen by one `GDRIVE_AUTH` line (oauth, TBD, or service-account). Setup steps go in the README</t>
        </is>
      </c>
      <c r="D4" s="2" t="inlineStr">
        <is>
          <t>`npm run drive:check` lists the root and creates any missing subfolder; switching `GDRIVE_AUTH` needs no code change; the OAuth token is cached under `secrets/`; refuses to run if `GDRIVE_ROOT_FOLDER_ID` is unset</t>
        </is>
      </c>
      <c r="E4" s="3" t="n">
        <v>3</v>
      </c>
      <c r="F4" s="2" t="inlineStr">
        <is>
          <t>Opus 5.5</t>
        </is>
      </c>
      <c r="G4" s="2" t="inlineStr">
        <is>
          <t>medium</t>
        </is>
      </c>
      <c r="H4" s="4">
        <f>INDEX(Calibration!$D$5:$D$11,MATCH(F4&amp;" "&amp;G4,Calibration!$A$5:$A$11,0))</f>
        <v/>
      </c>
      <c r="I4" s="5">
        <f>E4*H4</f>
        <v/>
      </c>
      <c r="J4" s="6" t="inlineStr">
        <is>
          <t>Done</t>
        </is>
      </c>
      <c r="K4" s="6" t="inlineStr">
        <is>
          <t>Y</t>
        </is>
      </c>
      <c r="L4" s="7">
        <f>SUMIFS(Tasks!$P$2:$P$62,Tasks!$B$2:$B$62,A4)</f>
        <v/>
      </c>
      <c r="M4" s="5">
        <f>IF(K4="Y",SUMIFS(Tasks!$T$2:$T$62,Tasks!$B$2:$B$62,A4),"")</f>
        <v/>
      </c>
      <c r="N4" s="5">
        <f>IF(K4="Y",SUMIFS(Tasks!$U$2:$U$62,Tasks!$B$2:$B$62,A4),"")</f>
        <v/>
      </c>
      <c r="O4" s="5">
        <f>IF(N4="","",N4-E4)</f>
        <v/>
      </c>
    </row>
    <row r="5">
      <c r="A5" s="2" t="inlineStr">
        <is>
          <t>S4</t>
        </is>
      </c>
      <c r="B5" s="2" t="inlineStr">
        <is>
          <t>0</t>
        </is>
      </c>
      <c r="C5" s="2" t="inlineStr">
        <is>
          <t>`npm run reset`: trash everything under the test folder, upload seed 01–10 to the root, archive `logs/` to `runs/&lt;stamp&gt;/`, clear the outbox, memory and poller state</t>
        </is>
      </c>
      <c r="D5" s="2" t="inlineStr">
        <is>
          <t>Step 0 "See" holds; running reset twice in a row gives the same state; it touches nothing outside `GDRIVE_ROOT_FOLDER_ID` (unit test with a fake Drive)</t>
        </is>
      </c>
      <c r="E5" s="3" t="n">
        <v>1</v>
      </c>
      <c r="F5" s="2" t="inlineStr">
        <is>
          <t>Opus 5.5</t>
        </is>
      </c>
      <c r="G5" s="2" t="inlineStr">
        <is>
          <t>medium</t>
        </is>
      </c>
      <c r="H5" s="4">
        <f>INDEX(Calibration!$D$5:$D$11,MATCH(F5&amp;" "&amp;G5,Calibration!$A$5:$A$11,0))</f>
        <v/>
      </c>
      <c r="I5" s="5">
        <f>E5*H5</f>
        <v/>
      </c>
      <c r="J5" s="6" t="inlineStr">
        <is>
          <t>Done</t>
        </is>
      </c>
      <c r="K5" s="6" t="inlineStr">
        <is>
          <t>Y</t>
        </is>
      </c>
      <c r="L5" s="7">
        <f>SUMIFS(Tasks!$P$2:$P$62,Tasks!$B$2:$B$62,A5)</f>
        <v/>
      </c>
      <c r="M5" s="5">
        <f>IF(K5="Y",SUMIFS(Tasks!$T$2:$T$62,Tasks!$B$2:$B$62,A5),"")</f>
        <v/>
      </c>
      <c r="N5" s="5">
        <f>IF(K5="Y",SUMIFS(Tasks!$U$2:$U$62,Tasks!$B$2:$B$62,A5),"")</f>
        <v/>
      </c>
      <c r="O5" s="5">
        <f>IF(N5="","",N5-E5)</f>
        <v/>
      </c>
    </row>
    <row r="6">
      <c r="A6" s="2" t="inlineStr">
        <is>
          <t>S5</t>
        </is>
      </c>
      <c r="B6" s="2" t="inlineStr">
        <is>
          <t>1, 3</t>
        </is>
      </c>
      <c r="C6" s="2" t="inlineStr">
        <is>
          <t>Classifier: ID rule, then Jev `choice()` over {Legal, Accounting}, then the threshold; fixture replay or record-on-miss keyed by sha256(content)</t>
        </is>
      </c>
      <c r="D6" s="2" t="inlineStr">
        <is>
          <t>With the committed fixture and no API key, unit tests give the demo-script label and rule for all 11 files; a miss is logged `"source":"live"`; the threshold comes from `.env`</t>
        </is>
      </c>
      <c r="E6" s="3" t="n">
        <v>3</v>
      </c>
      <c r="F6" s="2" t="inlineStr">
        <is>
          <t>Opus 5.5</t>
        </is>
      </c>
      <c r="G6" s="2" t="inlineStr">
        <is>
          <t>medium</t>
        </is>
      </c>
      <c r="H6" s="4">
        <f>INDEX(Calibration!$D$5:$D$11,MATCH(F6&amp;" "&amp;G6,Calibration!$A$5:$A$11,0))</f>
        <v/>
      </c>
      <c r="I6" s="5">
        <f>E6*H6</f>
        <v/>
      </c>
      <c r="J6" s="6" t="inlineStr">
        <is>
          <t>Done</t>
        </is>
      </c>
      <c r="K6" s="6" t="inlineStr">
        <is>
          <t>Y</t>
        </is>
      </c>
      <c r="L6" s="7">
        <f>SUMIFS(Tasks!$P$2:$P$62,Tasks!$B$2:$B$62,A6)</f>
        <v/>
      </c>
      <c r="M6" s="5">
        <f>IF(K6="Y",SUMIFS(Tasks!$T$2:$T$62,Tasks!$B$2:$B$62,A6),"")</f>
        <v/>
      </c>
      <c r="N6" s="5">
        <f>IF(K6="Y",SUMIFS(Tasks!$U$2:$U$62,Tasks!$B$2:$B$62,A6),"")</f>
        <v/>
      </c>
      <c r="O6" s="5">
        <f>IF(N6="","",N6-E6)</f>
        <v/>
      </c>
    </row>
    <row r="7">
      <c r="A7" s="2" t="inlineStr">
        <is>
          <t>S6</t>
        </is>
      </c>
      <c r="B7" s="2" t="inlineStr">
        <is>
          <t>1, 3</t>
        </is>
      </c>
      <c r="C7" s="2" t="inlineStr">
        <is>
          <t>Record the Jev fixture live for the 11 files and commit it (needs the TypeSafe key)</t>
        </is>
      </c>
      <c r="D7" s="2" t="inlineStr">
        <is>
          <t>File 10 records &lt; 0.70; the other non-ID files record ≥ 0.70 with the expected label. If not, edit the seed text and re-record; never hand-edit the fixture</t>
        </is>
      </c>
      <c r="E7" s="3" t="n">
        <v>1</v>
      </c>
      <c r="F7" s="2" t="inlineStr">
        <is>
          <t>Opus 5.5</t>
        </is>
      </c>
      <c r="G7" s="2" t="inlineStr">
        <is>
          <t>low</t>
        </is>
      </c>
      <c r="H7" s="4">
        <f>INDEX(Calibration!$D$5:$D$11,MATCH(F7&amp;" "&amp;G7,Calibration!$A$5:$A$11,0))</f>
        <v/>
      </c>
      <c r="I7" s="5">
        <f>E7*H7</f>
        <v/>
      </c>
      <c r="J7" s="6" t="inlineStr">
        <is>
          <t>Done</t>
        </is>
      </c>
      <c r="K7" s="6" t="inlineStr">
        <is>
          <t>Y</t>
        </is>
      </c>
      <c r="L7" s="7">
        <f>SUMIFS(Tasks!$P$2:$P$62,Tasks!$B$2:$B$62,A7)</f>
        <v/>
      </c>
      <c r="M7" s="5">
        <f>IF(K7="Y",SUMIFS(Tasks!$T$2:$T$62,Tasks!$B$2:$B$62,A7),"")</f>
        <v/>
      </c>
      <c r="N7" s="5">
        <f>IF(K7="Y",SUMIFS(Tasks!$U$2:$U$62,Tasks!$B$2:$B$62,A7),"")</f>
        <v/>
      </c>
      <c r="O7" s="5">
        <f>IF(N7="","",N7-E7)</f>
        <v/>
      </c>
    </row>
    <row r="8">
      <c r="A8" s="2" t="inlineStr">
        <is>
          <t>S7</t>
        </is>
      </c>
      <c r="B8" s="2" t="inlineStr">
        <is>
          <t>1, 3</t>
        </is>
      </c>
      <c r="C8" s="2" t="inlineStr">
        <is>
          <t>Poller: every 10 s, classify new root files, move them, log `classify` lines; ignore subfolders</t>
        </is>
      </c>
      <c r="D8" s="2" t="inlineStr">
        <is>
          <t>Step 1: 10 files moved within 30 s. Step 3: the new file moves within 30 s with no restart. A file already in a subfolder is never reclassified</t>
        </is>
      </c>
      <c r="E8" s="3" t="n">
        <v>2</v>
      </c>
      <c r="F8" s="2" t="inlineStr">
        <is>
          <t>Opus 5.5</t>
        </is>
      </c>
      <c r="G8" s="2" t="inlineStr">
        <is>
          <t>medium</t>
        </is>
      </c>
      <c r="H8" s="4">
        <f>INDEX(Calibration!$D$5:$D$11,MATCH(F8&amp;" "&amp;G8,Calibration!$A$5:$A$11,0))</f>
        <v/>
      </c>
      <c r="I8" s="5">
        <f>E8*H8</f>
        <v/>
      </c>
      <c r="J8" s="6" t="inlineStr">
        <is>
          <t>Done</t>
        </is>
      </c>
      <c r="K8" s="6" t="inlineStr">
        <is>
          <t>Y</t>
        </is>
      </c>
      <c r="L8" s="7">
        <f>SUMIFS(Tasks!$P$2:$P$62,Tasks!$B$2:$B$62,A8)</f>
        <v/>
      </c>
      <c r="M8" s="5">
        <f>IF(K8="Y",SUMIFS(Tasks!$T$2:$T$62,Tasks!$B$2:$B$62,A8),"")</f>
        <v/>
      </c>
      <c r="N8" s="5">
        <f>IF(K8="Y",SUMIFS(Tasks!$U$2:$U$62,Tasks!$B$2:$B$62,A8),"")</f>
        <v/>
      </c>
      <c r="O8" s="5">
        <f>IF(N8="","",N8-E8)</f>
        <v/>
      </c>
    </row>
    <row r="9">
      <c r="A9" s="2" t="inlineStr">
        <is>
          <t>S8</t>
        </is>
      </c>
      <c r="B9" s="2" t="inlineStr">
        <is>
          <t>1–4</t>
        </is>
      </c>
      <c r="C9" s="2" t="inlineStr">
        <is>
          <t>Decision log writer (shared JSONL), plus `npm run compare` over two run folders, plus a check against `expected-decisions.json` built from this script</t>
        </is>
      </c>
      <c r="D9" s="2" t="inlineStr">
        <is>
          <t>Lines match the demo-script shapes; `compare` ignores timestamps and Drive IDs and sorts `classify` lines by file; it prints `identical`, or the first differing line and exits 1</t>
        </is>
      </c>
      <c r="E9" s="3" t="n">
        <v>1</v>
      </c>
      <c r="F9" s="2" t="inlineStr">
        <is>
          <t>Sonnet 5.5</t>
        </is>
      </c>
      <c r="G9" s="2" t="inlineStr">
        <is>
          <t>medium</t>
        </is>
      </c>
      <c r="H9" s="4">
        <f>INDEX(Calibration!$D$5:$D$11,MATCH(F9&amp;" "&amp;G9,Calibration!$A$5:$A$11,0))</f>
        <v/>
      </c>
      <c r="I9" s="5">
        <f>E9*H9</f>
        <v/>
      </c>
      <c r="J9" s="6" t="inlineStr">
        <is>
          <t>Done</t>
        </is>
      </c>
      <c r="K9" s="6" t="inlineStr">
        <is>
          <t>Y</t>
        </is>
      </c>
      <c r="L9" s="7">
        <f>SUMIFS(Tasks!$P$2:$P$62,Tasks!$B$2:$B$62,A9)</f>
        <v/>
      </c>
      <c r="M9" s="5">
        <f>IF(K9="Y",SUMIFS(Tasks!$T$2:$T$62,Tasks!$B$2:$B$62,A9),"")</f>
        <v/>
      </c>
      <c r="N9" s="5">
        <f>IF(K9="Y",SUMIFS(Tasks!$U$2:$U$62,Tasks!$B$2:$B$62,A9),"")</f>
        <v/>
      </c>
      <c r="O9" s="5">
        <f>IF(N9="","",N9-E9)</f>
        <v/>
      </c>
    </row>
    <row r="10">
      <c r="A10" s="2" t="inlineStr">
        <is>
          <t>S9</t>
        </is>
      </c>
      <c r="B10" s="2" t="inlineStr">
        <is>
          <t>1, 2a–2d</t>
        </is>
      </c>
      <c r="C10" s="2" t="inlineStr">
        <is>
          <t>`appa.toml`: folder-labelled read tools, `send` with `contains = ["$to"]`, the `internal` list stub, memory save/load with scoped audiences, High Risk read denied. Plus `policy-tests/*.appa`</t>
        </is>
      </c>
      <c r="D10" s="2" t="inlineStr">
        <is>
          <t>`appa describe --check` passes; `appa replay` passes files for 2a (deny), 2b (deny), 2c across two sessions (deny), 2d (allow) and a High Risk read (deny)</t>
        </is>
      </c>
      <c r="E10" s="3" t="n">
        <v>3</v>
      </c>
      <c r="F10" s="2" t="inlineStr">
        <is>
          <t>Opus 5.5</t>
        </is>
      </c>
      <c r="G10" s="2" t="inlineStr">
        <is>
          <t>high</t>
        </is>
      </c>
      <c r="H10" s="4">
        <f>INDEX(Calibration!$D$5:$D$11,MATCH(F10&amp;" "&amp;G10,Calibration!$A$5:$A$11,0))</f>
        <v/>
      </c>
      <c r="I10" s="5">
        <f>E10*H10</f>
        <v/>
      </c>
      <c r="J10" s="6" t="inlineStr">
        <is>
          <t>Done</t>
        </is>
      </c>
      <c r="K10" s="6" t="inlineStr">
        <is>
          <t>Y</t>
        </is>
      </c>
      <c r="L10" s="7">
        <f>SUMIFS(Tasks!$P$2:$P$62,Tasks!$B$2:$B$62,A10)</f>
        <v/>
      </c>
      <c r="M10" s="5">
        <f>IF(K10="Y",SUMIFS(Tasks!$T$2:$T$62,Tasks!$B$2:$B$62,A10),"")</f>
        <v/>
      </c>
      <c r="N10" s="5">
        <f>IF(K10="Y",SUMIFS(Tasks!$U$2:$U$62,Tasks!$B$2:$B$62,A10),"")</f>
        <v/>
      </c>
      <c r="O10" s="5">
        <f>IF(N10="","",N10-E10)</f>
        <v/>
      </c>
    </row>
    <row r="11">
      <c r="A11" s="2" t="inlineStr">
        <is>
          <t>S10</t>
        </is>
      </c>
      <c r="B11" s="2" t="inlineStr">
        <is>
          <t>2a–2d</t>
        </is>
      </c>
      <c r="C11" s="2" t="inlineStr">
        <is>
          <t>Sidecar and TS hook client: `npm start` launches `appa runtime`; every tool call is checked before it runs; a deny returns the short reason, rewritten from runtime text plus the session's label source (file or memory)</t>
        </is>
      </c>
      <c r="D11" s="2" t="inlineStr">
        <is>
          <t>The exact 2a/2b/2c reason strings from the demo script are returned and logged; a denied call never runs its tool; unit tests use recorded runtime responses</t>
        </is>
      </c>
      <c r="E11" s="3" t="n">
        <v>3</v>
      </c>
      <c r="F11" s="2" t="inlineStr">
        <is>
          <t>Opus 5.5</t>
        </is>
      </c>
      <c r="G11" s="2" t="inlineStr">
        <is>
          <t>high</t>
        </is>
      </c>
      <c r="H11" s="4">
        <f>INDEX(Calibration!$D$5:$D$11,MATCH(F11&amp;" "&amp;G11,Calibration!$A$5:$A$11,0))</f>
        <v/>
      </c>
      <c r="I11" s="5">
        <f>E11*H11</f>
        <v/>
      </c>
      <c r="J11" s="6" t="inlineStr">
        <is>
          <t>Done</t>
        </is>
      </c>
      <c r="K11" s="6" t="inlineStr">
        <is>
          <t>Y</t>
        </is>
      </c>
      <c r="L11" s="7">
        <f>SUMIFS(Tasks!$P$2:$P$62,Tasks!$B$2:$B$62,A11)</f>
        <v/>
      </c>
      <c r="M11" s="5">
        <f>IF(K11="Y",SUMIFS(Tasks!$T$2:$T$62,Tasks!$B$2:$B$62,A11),"")</f>
        <v/>
      </c>
      <c r="N11" s="5">
        <f>IF(K11="Y",SUMIFS(Tasks!$U$2:$U$62,Tasks!$B$2:$B$62,A11),"")</f>
        <v/>
      </c>
      <c r="O11" s="5">
        <f>IF(N11="","",N11-E11)</f>
        <v/>
      </c>
    </row>
    <row r="12">
      <c r="A12" s="2" t="inlineStr">
        <is>
          <t>S11</t>
        </is>
      </c>
      <c r="B12" s="2" t="inlineStr">
        <is>
          <t>2</t>
        </is>
      </c>
      <c r="C12" s="2" t="inlineStr">
        <is>
          <t>Tools: Drive read (returns content and folder label), mock `send` (appends to `logs/outbox.jsonl`), memory save/load (local JSON keyed by scope)</t>
        </is>
      </c>
      <c r="D12" s="2" t="inlineStr">
        <is>
          <t>Each tool works alone in unit tests; `send` writes exactly one line per allowed call and none per denied call</t>
        </is>
      </c>
      <c r="E12" s="3" t="n">
        <v>2</v>
      </c>
      <c r="F12" s="2" t="inlineStr">
        <is>
          <t>Opus 5.5</t>
        </is>
      </c>
      <c r="G12" s="2" t="inlineStr">
        <is>
          <t>medium</t>
        </is>
      </c>
      <c r="H12" s="4">
        <f>INDEX(Calibration!$D$5:$D$11,MATCH(F12&amp;" "&amp;G12,Calibration!$A$5:$A$11,0))</f>
        <v/>
      </c>
      <c r="I12" s="5">
        <f>E12*H12</f>
        <v/>
      </c>
      <c r="J12" s="6" t="inlineStr">
        <is>
          <t>Done</t>
        </is>
      </c>
      <c r="K12" s="6" t="inlineStr">
        <is>
          <t>Y</t>
        </is>
      </c>
      <c r="L12" s="7">
        <f>SUMIFS(Tasks!$P$2:$P$62,Tasks!$B$2:$B$62,A12)</f>
        <v/>
      </c>
      <c r="M12" s="5">
        <f>IF(K12="Y",SUMIFS(Tasks!$T$2:$T$62,Tasks!$B$2:$B$62,A12),"")</f>
        <v/>
      </c>
      <c r="N12" s="5">
        <f>IF(K12="Y",SUMIFS(Tasks!$U$2:$U$62,Tasks!$B$2:$B$62,A12),"")</f>
        <v/>
      </c>
      <c r="O12" s="5">
        <f>IF(N12="","",N12-E12)</f>
        <v/>
      </c>
    </row>
    <row r="13">
      <c r="A13" s="2" t="inlineStr">
        <is>
          <t>S12</t>
        </is>
      </c>
      <c r="B13" s="2" t="inlineStr">
        <is>
          <t>2</t>
        </is>
      </c>
      <c r="C13" s="2" t="inlineStr">
        <is>
          <t>Scripted agent: takes the task text, runs agent-1 (read Legal, 2a, 2b, memory save), then agent-2 (memory load, send), then agent-1 2d; prints each result</t>
        </is>
      </c>
      <c r="D13" s="2" t="inlineStr">
        <is>
          <t>Step 2 "See" holds end to end against the live sidecar; outbox ends with exactly the 2d line; session IDs are fixed as `agent-1` and `agent-2`</t>
        </is>
      </c>
      <c r="E13" s="3" t="n">
        <v>2</v>
      </c>
      <c r="F13" s="2" t="inlineStr">
        <is>
          <t>Opus 5.5</t>
        </is>
      </c>
      <c r="G13" s="2" t="inlineStr">
        <is>
          <t>medium</t>
        </is>
      </c>
      <c r="H13" s="4">
        <f>INDEX(Calibration!$D$5:$D$11,MATCH(F13&amp;" "&amp;G13,Calibration!$A$5:$A$11,0))</f>
        <v/>
      </c>
      <c r="I13" s="5">
        <f>E13*H13</f>
        <v/>
      </c>
      <c r="J13" s="6" t="inlineStr">
        <is>
          <t>Done</t>
        </is>
      </c>
      <c r="K13" s="6" t="inlineStr">
        <is>
          <t>Y</t>
        </is>
      </c>
      <c r="L13" s="7">
        <f>SUMIFS(Tasks!$P$2:$P$62,Tasks!$B$2:$B$62,A13)</f>
        <v/>
      </c>
      <c r="M13" s="5">
        <f>IF(K13="Y",SUMIFS(Tasks!$T$2:$T$62,Tasks!$B$2:$B$62,A13),"")</f>
        <v/>
      </c>
      <c r="N13" s="5">
        <f>IF(K13="Y",SUMIFS(Tasks!$U$2:$U$62,Tasks!$B$2:$B$62,A13),"")</f>
        <v/>
      </c>
      <c r="O13" s="5">
        <f>IF(N13="","",N13-E13)</f>
        <v/>
      </c>
    </row>
    <row r="14">
      <c r="A14" s="8" t="inlineStr">
        <is>
          <t>Total</t>
        </is>
      </c>
      <c r="B14" s="8" t="n"/>
      <c r="C14" s="8" t="n"/>
      <c r="D14" s="8" t="n"/>
      <c r="E14" s="9">
        <f>SUM(E2:E13)</f>
        <v/>
      </c>
      <c r="F14" s="8" t="n"/>
      <c r="G14" s="8" t="n"/>
      <c r="H14" s="10" t="n"/>
      <c r="I14" s="9">
        <f>SUM(I2:I13)</f>
        <v/>
      </c>
      <c r="J14" s="8" t="n"/>
      <c r="K14" s="8" t="n"/>
      <c r="L14" s="11">
        <f>SUM(L2:L13)</f>
        <v/>
      </c>
      <c r="M14" s="9">
        <f>SUM(M2:M13)</f>
        <v/>
      </c>
      <c r="N14" s="9">
        <f>SUM(N2:N13)</f>
        <v/>
      </c>
      <c r="O14" s="9">
        <f>IF(COUNTIF(K2:K13,"Y")=0,"",N14-SUMIFS(E2:E13,K2:K13,"Y"))</f>
        <v/>
      </c>
    </row>
    <row r="15"/>
    <row r="16" ht="28" customHeight="1">
      <c r="A16" s="12" t="inlineStr">
        <is>
          <t>Baseline SP is the product agent's story estimate (Phase 1). Variance = normalised actual SP − baseline SP; positive means the story took longer than estimated. Task-level estimates (Phase 2) are compared on the Summary tab.</t>
        </is>
      </c>
    </row>
  </sheetData>
  <autoFilter ref="A1:O13"/>
  <mergeCells count="1">
    <mergeCell ref="A16:O16"/>
  </mergeCells>
  <dataValidations count="2">
    <dataValidation sqref="K2:K13" showDropDown="0" showInputMessage="0" showErrorMessage="0" allowBlank="1" type="list">
      <formula1>"Y,N"</formula1>
    </dataValidation>
    <dataValidation sqref="J2:J13" showDropDown="0" showInputMessage="0" showErrorMessage="0" allowBlank="1" type="list">
      <formula1>"Planned,In progress,Done,Blocked"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2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7" customWidth="1" min="2" max="2"/>
    <col width="44" customWidth="1" min="3" max="3"/>
    <col width="16" customWidth="1" min="4" max="4"/>
    <col width="6" customWidth="1" min="5" max="5"/>
    <col width="26" customWidth="1" min="6" max="6"/>
    <col width="50" customWidth="1" min="7" max="7"/>
    <col width="16" customWidth="1" min="8" max="8"/>
    <col width="9" customWidth="1" min="9" max="9"/>
    <col width="11" customWidth="1" min="10" max="10"/>
    <col width="8" customWidth="1" min="11" max="11"/>
    <col width="9" customWidth="1" min="12" max="12"/>
    <col width="9" customWidth="1" min="13" max="13"/>
    <col width="16" customWidth="1" min="14" max="14"/>
    <col width="16" customWidth="1" min="15" max="15"/>
    <col width="9" customWidth="1" min="16" max="16"/>
    <col width="8" customWidth="1" min="17" max="17"/>
    <col width="22" customWidth="1" min="18" max="18"/>
    <col width="9" customWidth="1" min="19" max="19"/>
    <col width="9" customWidth="1" min="20" max="20"/>
    <col width="10" customWidth="1" min="21" max="21"/>
    <col width="30" customWidth="1" min="22" max="22"/>
  </cols>
  <sheetData>
    <row r="1" ht="32" customHeight="1">
      <c r="A1" s="1" t="inlineStr">
        <is>
          <t>ID</t>
        </is>
      </c>
      <c r="B1" s="1" t="inlineStr">
        <is>
          <t>Story ID</t>
        </is>
      </c>
      <c r="C1" s="1" t="inlineStr">
        <is>
          <t>Task</t>
        </is>
      </c>
      <c r="D1" s="1" t="inlineStr">
        <is>
          <t>Owner agent</t>
        </is>
      </c>
      <c r="E1" s="1" t="inlineStr">
        <is>
          <t>Wave</t>
        </is>
      </c>
      <c r="F1" s="1" t="inlineStr">
        <is>
          <t>Branch</t>
        </is>
      </c>
      <c r="G1" s="1" t="inlineStr">
        <is>
          <t>Files owned</t>
        </is>
      </c>
      <c r="H1" s="1" t="inlineStr">
        <is>
          <t>Dependencies</t>
        </is>
      </c>
      <c r="I1" s="1" t="inlineStr">
        <is>
          <t>Baseline SP</t>
        </is>
      </c>
      <c r="J1" s="1" t="inlineStr">
        <is>
          <t>Model</t>
        </is>
      </c>
      <c r="K1" s="1" t="inlineStr">
        <is>
          <t>Effort</t>
        </is>
      </c>
      <c r="L1" s="1" t="inlineStr">
        <is>
          <t>Multiplier</t>
        </is>
      </c>
      <c r="M1" s="1" t="inlineStr">
        <is>
          <t>Adjusted SP</t>
        </is>
      </c>
      <c r="N1" s="1" t="inlineStr">
        <is>
          <t>Start</t>
        </is>
      </c>
      <c r="O1" s="1" t="inlineStr">
        <is>
          <t>End</t>
        </is>
      </c>
      <c r="P1" s="1" t="inlineStr">
        <is>
          <t>Runtime (min)</t>
        </is>
      </c>
      <c r="Q1" s="1" t="inlineStr">
        <is>
          <t>Attempts</t>
        </is>
      </c>
      <c r="R1" s="1" t="inlineStr">
        <is>
          <t>PR link</t>
        </is>
      </c>
      <c r="S1" s="1" t="inlineStr">
        <is>
          <t>Accepted (Y/N)</t>
        </is>
      </c>
      <c r="T1" s="1" t="inlineStr">
        <is>
          <t>Raw actual SP</t>
        </is>
      </c>
      <c r="U1" s="1" t="inlineStr">
        <is>
          <t>Normalised actual SP</t>
        </is>
      </c>
      <c r="V1" s="1" t="inlineStr">
        <is>
          <t>Notes</t>
        </is>
      </c>
    </row>
    <row r="2">
      <c r="A2" s="2" t="inlineStr">
        <is>
          <t>T1.1</t>
        </is>
      </c>
      <c r="B2" s="2" t="inlineStr">
        <is>
          <t>S1</t>
        </is>
      </c>
      <c r="C2" s="2" t="inlineStr">
        <is>
          <t>Node 22 TS package in `clearance/` with all npm scripts, stub CLIs, config loader, JSONL util, log schema and ignore rules.</t>
        </is>
      </c>
      <c r="D2" s="2" t="inlineStr">
        <is>
          <t>Rowan</t>
        </is>
      </c>
      <c r="E2" s="2" t="n">
        <v>1</v>
      </c>
      <c r="F2" s="2" t="inlineStr">
        <is>
          <t>feat/T1.1-node-scaffold</t>
        </is>
      </c>
      <c r="G2" s="2" t="inlineStr">
        <is>
          <t>`clearance/package.json`, `clearance/package-lock.json`, `clearance/tsconfig.json`, `clearance/vitest.config.ts`, `clearance/.env.example`, `clearance/README.md`, `clearance/src/config.ts`, `clearance/src/util/jsonl.ts`, `clearance/src/log/schema.ts`, `clearance/src/cli/{start,agent,reset,drop,compare,drive-check,record-fixture}.ts` (stubs), `clearance/test/config.test.ts`, `clearance/test/jsonl.test.ts`, `.gitignore`.</t>
        </is>
      </c>
      <c r="H2" s="2" t="inlineStr">
        <is>
          <t>none</t>
        </is>
      </c>
      <c r="I2" s="3" t="n">
        <v>2</v>
      </c>
      <c r="J2" s="2" t="inlineStr">
        <is>
          <t>Opus 5.5</t>
        </is>
      </c>
      <c r="K2" s="2" t="inlineStr">
        <is>
          <t>medium</t>
        </is>
      </c>
      <c r="L2" s="4">
        <f>IF(J2="","",INDEX(Calibration!$D$5:$D$11,MATCH(J2&amp;" "&amp;K2,Calibration!$A$5:$A$11,0)))</f>
        <v/>
      </c>
      <c r="M2" s="5">
        <f>IF(OR(I2="",L2=""),"",I2*L2)</f>
        <v/>
      </c>
      <c r="N2" s="26" t="n">
        <v>46314.51927083333</v>
      </c>
      <c r="O2" s="26" t="n">
        <v>46314.52329861111</v>
      </c>
      <c r="P2" s="7">
        <f>IF(AND(ISNUMBER(N2),ISNUMBER(O2)),ROUND((O2-N2)*1440,1),"")</f>
        <v/>
      </c>
      <c r="Q2" s="6" t="n">
        <v>1</v>
      </c>
      <c r="R2" s="6" t="inlineStr">
        <is>
          <t>https://github.com/soham956/OpenAPPA/pull/4</t>
        </is>
      </c>
      <c r="S2" s="6" t="inlineStr">
        <is>
          <t>Y</t>
        </is>
      </c>
      <c r="T2" s="5">
        <f>IF(S2="Y",SUMIFS($P$2:$P$62,$A$2:$A$62,A2&amp;"")/20,"")</f>
        <v/>
      </c>
      <c r="U2" s="5">
        <f>IF(OR(T2="",L2=""),"",T2/L2)</f>
        <v/>
      </c>
      <c r="V2" s="6" t="inlineStr">
        <is>
          <t>Accepted. Combined wave-1 check: vitest 30/30, typecheck ok, policy 8/8.</t>
        </is>
      </c>
    </row>
    <row r="3">
      <c r="A3" s="2" t="inlineStr">
        <is>
          <t>T2.1</t>
        </is>
      </c>
      <c r="B3" s="2" t="inlineStr">
        <is>
          <t>S2</t>
        </is>
      </c>
      <c r="C3" s="2" t="inlineStr">
        <is>
          <t>Write the 11 synthetic SPECIMEN seed files.</t>
        </is>
      </c>
      <c r="D3" s="2" t="inlineStr">
        <is>
          <t>Mika</t>
        </is>
      </c>
      <c r="E3" s="2" t="n">
        <v>1</v>
      </c>
      <c r="F3" s="2" t="inlineStr">
        <is>
          <t>feat/T2.1-seed-files</t>
        </is>
      </c>
      <c r="G3" s="2" t="inlineStr">
        <is>
          <t>`clearance/seed/01-…10-*.txt`, `clearance/seed/new/11-vendor-invoice-0207.txt`, `clearance/test/seed.test.ts`.</t>
        </is>
      </c>
      <c r="H3" s="2" t="inlineStr">
        <is>
          <t>none</t>
        </is>
      </c>
      <c r="I3" s="3" t="n">
        <v>1</v>
      </c>
      <c r="J3" s="2" t="inlineStr">
        <is>
          <t>Sonnet 5.5</t>
        </is>
      </c>
      <c r="K3" s="2" t="inlineStr">
        <is>
          <t>medium</t>
        </is>
      </c>
      <c r="L3" s="4">
        <f>IF(J3="","",INDEX(Calibration!$D$5:$D$11,MATCH(J3&amp;" "&amp;K3,Calibration!$A$5:$A$11,0)))</f>
        <v/>
      </c>
      <c r="M3" s="5">
        <f>IF(OR(I3="",L3=""),"",I3*L3)</f>
        <v/>
      </c>
      <c r="N3" s="26" t="n">
        <v>46314.52429398148</v>
      </c>
      <c r="O3" s="26" t="n">
        <v>46314.52466435185</v>
      </c>
      <c r="P3" s="7">
        <f>IF(AND(ISNUMBER(N3),ISNUMBER(O3)),ROUND((O3-N3)*1440,1),"")</f>
        <v/>
      </c>
      <c r="Q3" s="6" t="n">
        <v>2</v>
      </c>
      <c r="R3" s="6" t="inlineStr">
        <is>
          <t>https://github.com/soham956/OpenAPPA/pull/2</t>
        </is>
      </c>
      <c r="S3" s="6" t="inlineStr">
        <is>
          <t>Y</t>
        </is>
      </c>
      <c r="T3" s="5">
        <f>IF(S3="Y",SUMIFS($P$2:$P$62,$A$2:$A$62,A3&amp;"")/20,"")</f>
        <v/>
      </c>
      <c r="U3" s="5">
        <f>IF(OR(T3="",L3=""),"",T3/L3)</f>
        <v/>
      </c>
      <c r="V3" s="6" t="inlineStr">
        <is>
          <t>Accepted after rework (attempt 2). Runtime includes the rejected attempt row.</t>
        </is>
      </c>
    </row>
    <row r="4">
      <c r="A4" s="2" t="inlineStr">
        <is>
          <t>T9.1</t>
        </is>
      </c>
      <c r="B4" s="2" t="inlineStr">
        <is>
          <t>S9</t>
        </is>
      </c>
      <c r="C4" s="2" t="inlineStr">
        <is>
          <t>Policy and policy tests. First, spike array recipients (`@rcpt:addr/$to` with the node identity source) and switch to the documented fallback if it fails.</t>
        </is>
      </c>
      <c r="D4" s="2" t="inlineStr">
        <is>
          <t>Quinn</t>
        </is>
      </c>
      <c r="E4" s="2" t="n">
        <v>1</v>
      </c>
      <c r="F4" s="2" t="inlineStr">
        <is>
          <t>feat/T9.1-appa-policy</t>
        </is>
      </c>
      <c r="G4" s="2" t="inlineStr">
        <is>
          <t>`clearance/appa.toml`, `clearance/policy/rcpt-audience.mjs`, `clearance/policy/README.md`, `clearance/policy-tests/*.appa`.</t>
        </is>
      </c>
      <c r="H4" s="2" t="inlineStr">
        <is>
          <t>none (needs P1)</t>
        </is>
      </c>
      <c r="I4" s="3" t="n">
        <v>3</v>
      </c>
      <c r="J4" s="2" t="inlineStr">
        <is>
          <t>Opus 5.5</t>
        </is>
      </c>
      <c r="K4" s="2" t="inlineStr">
        <is>
          <t>high</t>
        </is>
      </c>
      <c r="L4" s="4">
        <f>IF(J4="","",INDEX(Calibration!$D$5:$D$11,MATCH(J4&amp;" "&amp;K4,Calibration!$A$5:$A$11,0)))</f>
        <v/>
      </c>
      <c r="M4" s="5">
        <f>IF(OR(I4="",L4=""),"",I4*L4)</f>
        <v/>
      </c>
      <c r="N4" s="26" t="n">
        <v>46314.51925925926</v>
      </c>
      <c r="O4" s="26" t="n">
        <v>46314.52314814815</v>
      </c>
      <c r="P4" s="7">
        <f>IF(AND(ISNUMBER(N4),ISNUMBER(O4)),ROUND((O4-N4)*1440,1),"")</f>
        <v/>
      </c>
      <c r="Q4" s="6" t="n">
        <v>1</v>
      </c>
      <c r="R4" s="6" t="inlineStr">
        <is>
          <t>https://github.com/soham956/OpenAPPA/pull/3</t>
        </is>
      </c>
      <c r="S4" s="6" t="inlineStr">
        <is>
          <t>Y</t>
        </is>
      </c>
      <c r="T4" s="5">
        <f>IF(S4="Y",SUMIFS($P$2:$P$62,$A$2:$A$62,A4&amp;"")/20,"")</f>
        <v/>
      </c>
      <c r="U4" s="5">
        <f>IF(OR(T4="",L4=""),"",T4/L4)</f>
        <v/>
      </c>
      <c r="V4" s="6" t="inlineStr">
        <is>
          <t>Accepted. Spike: array recipients via @rcpt:addr/$to work (no fallback). describe --check exit 0, replay 8/8 (orchestrator rerun).</t>
        </is>
      </c>
    </row>
    <row r="5">
      <c r="A5" s="2" t="inlineStr">
        <is>
          <t>T1.2</t>
        </is>
      </c>
      <c r="B5" s="2" t="inlineStr">
        <is>
          <t>S1</t>
        </is>
      </c>
      <c r="C5" s="2" t="inlineStr">
        <is>
          <t>One CI workflow. Delete the upstream workflows, build `appa` with caching, and run the tests and policy checks.</t>
        </is>
      </c>
      <c r="D5" s="2" t="inlineStr">
        <is>
          <t>Rowan</t>
        </is>
      </c>
      <c r="E5" s="2" t="n">
        <v>2</v>
      </c>
      <c r="F5" s="2" t="inlineStr">
        <is>
          <t>feat/T1.2-ci</t>
        </is>
      </c>
      <c r="G5" s="2" t="inlineStr">
        <is>
          <t>`.github/workflows/clearance-ci.yml`. Deletes the 13 upstream `.github/workflows/*.yml` files and `.github/dependabot.yml`.</t>
        </is>
      </c>
      <c r="H5" s="2" t="inlineStr">
        <is>
          <t>T1.1, T9.1</t>
        </is>
      </c>
      <c r="I5" s="3" t="n">
        <v>2</v>
      </c>
      <c r="J5" s="2" t="inlineStr">
        <is>
          <t>Opus 5.5</t>
        </is>
      </c>
      <c r="K5" s="2" t="inlineStr">
        <is>
          <t>medium</t>
        </is>
      </c>
      <c r="L5" s="4">
        <f>IF(J5="","",INDEX(Calibration!$D$5:$D$11,MATCH(J5&amp;" "&amp;K5,Calibration!$A$5:$A$11,0)))</f>
        <v/>
      </c>
      <c r="M5" s="5">
        <f>IF(OR(I5="",L5=""),"",I5*L5)</f>
        <v/>
      </c>
      <c r="N5" s="26" t="n">
        <v>46314.5519212963</v>
      </c>
      <c r="O5" s="26" t="n">
        <v>46314.55635416666</v>
      </c>
      <c r="P5" s="7">
        <f>IF(AND(ISNUMBER(N5),ISNUMBER(O5)),ROUND((O5-N5)*1440,1),"")</f>
        <v/>
      </c>
      <c r="Q5" s="6" t="n">
        <v>1</v>
      </c>
      <c r="R5" s="6" t="inlineStr">
        <is>
          <t>https://github.com/soham956/OpenAPPA/pull/11</t>
        </is>
      </c>
      <c r="S5" s="6" t="inlineStr">
        <is>
          <t>Y</t>
        </is>
      </c>
      <c r="T5" s="5">
        <f>IF(S5="Y",SUMIFS($P$2:$P$62,$A$2:$A$62,A5&amp;"")/20,"")</f>
        <v/>
      </c>
      <c r="U5" s="5">
        <f>IF(OR(T5="",L5=""),"",T5/L5)</f>
        <v/>
      </c>
      <c r="V5" s="6" t="inlineStr">
        <is>
          <t>Accepted: CI green cold (4m31s) and cached (19s, cache hit); check clearance-ci now required on main. Blocked 9.7 min waiting for Soham's workflow scope: wall-clock End-Start includes that; active time 8.1 min.</t>
        </is>
      </c>
    </row>
    <row r="6">
      <c r="A6" s="2" t="inlineStr">
        <is>
          <t>T3.1</t>
        </is>
      </c>
      <c r="B6" s="2" t="inlineStr">
        <is>
          <t>S3</t>
        </is>
      </c>
      <c r="C6" s="2" t="inlineStr">
        <is>
          <t>`DriveClient` interface, the googleapis implementation and an in-memory fake.</t>
        </is>
      </c>
      <c r="D6" s="2" t="inlineStr">
        <is>
          <t>Sasha</t>
        </is>
      </c>
      <c r="E6" s="2" t="n">
        <v>2</v>
      </c>
      <c r="F6" s="2" t="inlineStr">
        <is>
          <t>feat/T3.1-drive-client</t>
        </is>
      </c>
      <c r="G6" s="2" t="inlineStr">
        <is>
          <t>`clearance/src/drive/{types,google,fake}.ts`, `clearance/test/drive-google.test.ts`, `clearance/test/drive-contract.test.ts`.</t>
        </is>
      </c>
      <c r="H6" s="2" t="inlineStr">
        <is>
          <t>T1.1</t>
        </is>
      </c>
      <c r="I6" s="3" t="n">
        <v>2</v>
      </c>
      <c r="J6" s="2" t="inlineStr">
        <is>
          <t>Opus 5.5</t>
        </is>
      </c>
      <c r="K6" s="2" t="inlineStr">
        <is>
          <t>medium</t>
        </is>
      </c>
      <c r="L6" s="4">
        <f>IF(J6="","",INDEX(Calibration!$D$5:$D$11,MATCH(J6&amp;" "&amp;K6,Calibration!$A$5:$A$11,0)))</f>
        <v/>
      </c>
      <c r="M6" s="5">
        <f>IF(OR(I6="",L6=""),"",I6*L6)</f>
        <v/>
      </c>
      <c r="N6" s="26" t="n">
        <v>46314.54443287037</v>
      </c>
      <c r="O6" s="26" t="n">
        <v>46314.54755787037</v>
      </c>
      <c r="P6" s="7">
        <f>IF(AND(ISNUMBER(N6),ISNUMBER(O6)),ROUND((O6-N6)*1440,1),"")</f>
        <v/>
      </c>
      <c r="Q6" s="6" t="n">
        <v>1</v>
      </c>
      <c r="R6" s="6" t="inlineStr">
        <is>
          <t>https://github.com/soham956/OpenAPPA/pull/9</t>
        </is>
      </c>
      <c r="S6" s="6" t="inlineStr">
        <is>
          <t>Y</t>
        </is>
      </c>
      <c r="T6" s="5">
        <f>IF(S6="Y",SUMIFS($P$2:$P$62,$A$2:$A$62,A6&amp;"")/20,"")</f>
        <v/>
      </c>
      <c r="U6" s="5">
        <f>IF(OR(T6="",L6=""),"",T6/L6)</f>
        <v/>
      </c>
      <c r="V6" s="6" t="inlineStr">
        <is>
          <t>Accepted: in scope (5 files), contract suite runs on fake and Google stub, trash is soft (trashed=true), DriveScopeError outside the tree. Combined wave-2 check passed (128/128).</t>
        </is>
      </c>
    </row>
    <row r="7">
      <c r="A7" s="2" t="inlineStr">
        <is>
          <t>T5.1</t>
        </is>
      </c>
      <c r="B7" s="2" t="inlineStr">
        <is>
          <t>S5</t>
        </is>
      </c>
      <c r="C7" s="2" t="inlineStr">
        <is>
          <t>ID rule, threshold decision and fixture store (replay, or record on a miss) keyed by sha256(content).</t>
        </is>
      </c>
      <c r="D7" s="2" t="inlineStr">
        <is>
          <t>Ellis</t>
        </is>
      </c>
      <c r="E7" s="2" t="n">
        <v>2</v>
      </c>
      <c r="F7" s="2" t="inlineStr">
        <is>
          <t>feat/T5.1-classifier-core</t>
        </is>
      </c>
      <c r="G7" s="2" t="inlineStr">
        <is>
          <t>`clearance/src/classifier/{types,specimen,decide,fixture-store}.ts`, `clearance/test/classifier.test.ts`, `clearance/test/fixtures/classifications.sample.json`.</t>
        </is>
      </c>
      <c r="H7" s="2" t="inlineStr">
        <is>
          <t>T1.1, T2.1</t>
        </is>
      </c>
      <c r="I7" s="3" t="n">
        <v>2</v>
      </c>
      <c r="J7" s="2" t="inlineStr">
        <is>
          <t>Opus 5.5</t>
        </is>
      </c>
      <c r="K7" s="2" t="inlineStr">
        <is>
          <t>medium</t>
        </is>
      </c>
      <c r="L7" s="4">
        <f>IF(J7="","",INDEX(Calibration!$D$5:$D$11,MATCH(J7&amp;" "&amp;K7,Calibration!$A$5:$A$11,0)))</f>
        <v/>
      </c>
      <c r="M7" s="5">
        <f>IF(OR(I7="",L7=""),"",I7*L7)</f>
        <v/>
      </c>
      <c r="N7" s="26" t="n">
        <v>46314.57232638889</v>
      </c>
      <c r="O7" s="26" t="n">
        <v>46314.57354166666</v>
      </c>
      <c r="P7" s="7">
        <f>IF(AND(ISNUMBER(N7),ISNUMBER(O7)),ROUND((O7-N7)*1440,1),"")</f>
        <v/>
      </c>
      <c r="Q7" s="6" t="n">
        <v>2</v>
      </c>
      <c r="R7" s="6" t="inlineStr">
        <is>
          <t>https://github.com/soham956/OpenAPPA/pull/8 + #23 (rework)</t>
        </is>
      </c>
      <c r="S7" s="6" t="inlineStr">
        <is>
          <t>Y</t>
        </is>
      </c>
      <c r="T7" s="5">
        <f>IF(S7="Y",SUMIFS($P$2:$P$62,$A$2:$A$62,A7&amp;"")/20,"")</f>
        <v/>
      </c>
      <c r="U7" s="5">
        <f>IF(OR(T7="",L7=""),"",T7/L7)</f>
        <v/>
      </c>
      <c r="V7" s="6" t="inlineStr">
        <is>
          <t>Accepted after rework (PR #23): fixture built from seed files at test time, no writes to committed files. Original PR #8 work counted as the rejected attempt row.</t>
        </is>
      </c>
    </row>
    <row r="8">
      <c r="A8" s="2" t="inlineStr">
        <is>
          <t>T8.1</t>
        </is>
      </c>
      <c r="B8" s="2" t="inlineStr">
        <is>
          <t>S8</t>
        </is>
      </c>
      <c r="C8" s="2" t="inlineStr">
        <is>
          <t>Decision log writer and reader on top of `schema.ts`.</t>
        </is>
      </c>
      <c r="D8" s="2" t="inlineStr">
        <is>
          <t>Mika</t>
        </is>
      </c>
      <c r="E8" s="2" t="n">
        <v>2</v>
      </c>
      <c r="F8" s="2" t="inlineStr">
        <is>
          <t>feat/T8.1-decision-log</t>
        </is>
      </c>
      <c r="G8" s="2" t="inlineStr">
        <is>
          <t>`clearance/src/log/decision-log.ts`, `clearance/test/decision-log.test.ts`.</t>
        </is>
      </c>
      <c r="H8" s="2" t="inlineStr">
        <is>
          <t>T1.1</t>
        </is>
      </c>
      <c r="I8" s="3" t="n">
        <v>1</v>
      </c>
      <c r="J8" s="2" t="inlineStr">
        <is>
          <t>Sonnet 5.5</t>
        </is>
      </c>
      <c r="K8" s="2" t="inlineStr">
        <is>
          <t>medium</t>
        </is>
      </c>
      <c r="L8" s="4">
        <f>IF(J8="","",INDEX(Calibration!$D$5:$D$11,MATCH(J8&amp;" "&amp;K8,Calibration!$A$5:$A$11,0)))</f>
        <v/>
      </c>
      <c r="M8" s="5">
        <f>IF(OR(I8="",L8=""),"",I8*L8)</f>
        <v/>
      </c>
      <c r="N8" s="26" t="n">
        <v>46314.54399305556</v>
      </c>
      <c r="O8" s="26" t="n">
        <v>46314.54462962963</v>
      </c>
      <c r="P8" s="7">
        <f>IF(AND(ISNUMBER(N8),ISNUMBER(O8)),ROUND((O8-N8)*1440,1),"")</f>
        <v/>
      </c>
      <c r="Q8" s="6" t="n">
        <v>1</v>
      </c>
      <c r="R8" s="6" t="inlineStr">
        <is>
          <t>https://github.com/soham956/OpenAPPA/pull/6</t>
        </is>
      </c>
      <c r="S8" s="6" t="inlineStr">
        <is>
          <t>Y</t>
        </is>
      </c>
      <c r="T8" s="5">
        <f>IF(S8="Y",SUMIFS($P$2:$P$62,$A$2:$A$62,A8&amp;"")/20,"")</f>
        <v/>
      </c>
      <c r="U8" s="5">
        <f>IF(OR(T8="",L8=""),"",T8/L8)</f>
        <v/>
      </c>
      <c r="V8" s="6" t="inlineStr">
        <is>
          <t>Accepted: in scope (2 files), exact-string tests of demo-script lines; combined wave-2 check passed (128/128).</t>
        </is>
      </c>
    </row>
    <row r="9">
      <c r="A9" s="2" t="inlineStr">
        <is>
          <t>T10.1</t>
        </is>
      </c>
      <c r="B9" s="2" t="inlineStr">
        <is>
          <t>S10</t>
        </is>
      </c>
      <c r="C9" s="2" t="inlineStr">
        <is>
          <t>Sidecar launcher, typed `/hook` client and remedy executor over MCP.</t>
        </is>
      </c>
      <c r="D9" s="2" t="inlineStr">
        <is>
          <t>Quinn</t>
        </is>
      </c>
      <c r="E9" s="2" t="n">
        <v>2</v>
      </c>
      <c r="F9" s="2" t="inlineStr">
        <is>
          <t>feat/T10.1-sidecar-wire</t>
        </is>
      </c>
      <c r="G9" s="2" t="inlineStr">
        <is>
          <t>`clearance/src/sidecar/{runtime,wire,remedy}.ts`, `clearance/test/sidecar-wire.test.ts`, `clearance/test/sidecar-live.test.ts`, `clearance/test/fixtures/runtime/*.json`.</t>
        </is>
      </c>
      <c r="H9" s="2" t="inlineStr">
        <is>
          <t>T1.1, T9.1</t>
        </is>
      </c>
      <c r="I9" s="3" t="n">
        <v>3</v>
      </c>
      <c r="J9" s="2" t="inlineStr">
        <is>
          <t>Opus 5.5</t>
        </is>
      </c>
      <c r="K9" s="2" t="inlineStr">
        <is>
          <t>high</t>
        </is>
      </c>
      <c r="L9" s="4">
        <f>IF(J9="","",INDEX(Calibration!$D$5:$D$11,MATCH(J9&amp;" "&amp;K9,Calibration!$A$5:$A$11,0)))</f>
        <v/>
      </c>
      <c r="M9" s="5">
        <f>IF(OR(I9="",L9=""),"",I9*L9)</f>
        <v/>
      </c>
      <c r="N9" s="26" t="n">
        <v>46314.5440162037</v>
      </c>
      <c r="O9" s="26" t="n">
        <v>46314.54840277778</v>
      </c>
      <c r="P9" s="7">
        <f>IF(AND(ISNUMBER(N9),ISNUMBER(O9)),ROUND((O9-N9)*1440,1),"")</f>
        <v/>
      </c>
      <c r="Q9" s="6" t="n">
        <v>1</v>
      </c>
      <c r="R9" s="6" t="inlineStr">
        <is>
          <t>https://github.com/soham956/OpenAPPA/pull/10</t>
        </is>
      </c>
      <c r="S9" s="6" t="inlineStr">
        <is>
          <t>Y</t>
        </is>
      </c>
      <c r="T9" s="5">
        <f>IF(S9="Y",SUMIFS($P$2:$P$62,$A$2:$A$62,A9&amp;"")/20,"")</f>
        <v/>
      </c>
      <c r="U9" s="5">
        <f>IF(OR(T9="",L9=""),"",T9/L9)</f>
        <v/>
      </c>
      <c r="V9" s="6" t="inlineStr">
        <is>
          <t>Accepted: live remedy flow against real appa; combined wave-2 check 128/128 incl. live, typecheck ok, policy 8/8. Live feedback wording differs from replay (T10.2 must use recorded fixtures).</t>
        </is>
      </c>
    </row>
    <row r="10">
      <c r="A10" s="2" t="inlineStr">
        <is>
          <t>T11.1</t>
        </is>
      </c>
      <c r="B10" s="2" t="inlineStr">
        <is>
          <t>S11</t>
        </is>
      </c>
      <c r="C10" s="2" t="inlineStr">
        <is>
          <t>Mock `send` (outbox) and the memory save/load tools.</t>
        </is>
      </c>
      <c r="D10" s="2" t="inlineStr">
        <is>
          <t>Remy</t>
        </is>
      </c>
      <c r="E10" s="2" t="n">
        <v>2</v>
      </c>
      <c r="F10" s="2" t="inlineStr">
        <is>
          <t>feat/T11.1-send-memory-tools</t>
        </is>
      </c>
      <c r="G10" s="2" t="inlineStr">
        <is>
          <t>`clearance/src/tools/{send,memory}.ts`, `clearance/test/tools-send.test.ts`, `clearance/test/tools-memory.test.ts`.</t>
        </is>
      </c>
      <c r="H10" s="2" t="inlineStr">
        <is>
          <t>T1.1</t>
        </is>
      </c>
      <c r="I10" s="3" t="n">
        <v>1</v>
      </c>
      <c r="J10" s="2" t="inlineStr">
        <is>
          <t>Sonnet 5.5</t>
        </is>
      </c>
      <c r="K10" s="2" t="inlineStr">
        <is>
          <t>medium</t>
        </is>
      </c>
      <c r="L10" s="4">
        <f>IF(J10="","",INDEX(Calibration!$D$5:$D$11,MATCH(J10&amp;" "&amp;K10,Calibration!$A$5:$A$11,0)))</f>
        <v/>
      </c>
      <c r="M10" s="5">
        <f>IF(OR(I10="",L10=""),"",I10*L10)</f>
        <v/>
      </c>
      <c r="N10" s="26" t="n">
        <v>46314.54444444444</v>
      </c>
      <c r="O10" s="26" t="n">
        <v>46314.54555555555</v>
      </c>
      <c r="P10" s="7">
        <f>IF(AND(ISNUMBER(N10),ISNUMBER(O10)),ROUND((O10-N10)*1440,1),"")</f>
        <v/>
      </c>
      <c r="Q10" s="6" t="n">
        <v>1</v>
      </c>
      <c r="R10" s="6" t="inlineStr">
        <is>
          <t>https://github.com/soham956/OpenAPPA/pull/7</t>
        </is>
      </c>
      <c r="S10" s="6" t="inlineStr">
        <is>
          <t>Y</t>
        </is>
      </c>
      <c r="T10" s="5">
        <f>IF(S10="Y",SUMIFS($P$2:$P$62,$A$2:$A$62,A10&amp;"")/20,"")</f>
        <v/>
      </c>
      <c r="U10" s="5">
        <f>IF(OR(T10="",L10=""),"",T10/L10)</f>
        <v/>
      </c>
      <c r="V10" s="6" t="inlineStr">
        <is>
          <t>Accepted: in scope (4 files), no APPA calls, outbox written via schema orderKeys; combined wave-2 check passed (128/128). PR body end time 13:06:00Z is slightly off; real end used.</t>
        </is>
      </c>
    </row>
    <row r="11">
      <c r="A11" s="2" t="inlineStr">
        <is>
          <t>T3.2</t>
        </is>
      </c>
      <c r="B11" s="2" t="inlineStr">
        <is>
          <t>S3</t>
        </is>
      </c>
      <c r="C11" s="2" t="inlineStr">
        <is>
          <t>`GDRIVE_AUTH` switch (oauth or service-account), OAuth loopback consent with a token cache, factory, `npm run drive:check`, setup doc.</t>
        </is>
      </c>
      <c r="D11" s="2" t="inlineStr">
        <is>
          <t>Sasha</t>
        </is>
      </c>
      <c r="E11" s="2" t="n">
        <v>3</v>
      </c>
      <c r="F11" s="2" t="inlineStr">
        <is>
          <t>feat/T3.2-drive-auth</t>
        </is>
      </c>
      <c r="G11" s="2" t="inlineStr">
        <is>
          <t>`clearance/src/drive/{auth,factory}.ts`, `clearance/src/cli/drive-check.ts`, `clearance/docs/drive-setup.md`, `clearance/test/drive-auth.test.ts`.</t>
        </is>
      </c>
      <c r="H11" s="2" t="inlineStr">
        <is>
          <t>T1.1, T3.1</t>
        </is>
      </c>
      <c r="I11" s="3" t="n">
        <v>2</v>
      </c>
      <c r="J11" s="2" t="inlineStr">
        <is>
          <t>Opus 5.5</t>
        </is>
      </c>
      <c r="K11" s="2" t="inlineStr">
        <is>
          <t>medium</t>
        </is>
      </c>
      <c r="L11" s="4">
        <f>IF(J11="","",INDEX(Calibration!$D$5:$D$11,MATCH(J11&amp;" "&amp;K11,Calibration!$A$5:$A$11,0)))</f>
        <v/>
      </c>
      <c r="M11" s="5">
        <f>IF(OR(I11="",L11=""),"",I11*L11)</f>
        <v/>
      </c>
      <c r="N11" s="26" t="n">
        <v>46314.56222222222</v>
      </c>
      <c r="O11" s="26" t="n">
        <v>46314.56504629629</v>
      </c>
      <c r="P11" s="7">
        <f>IF(AND(ISNUMBER(N11),ISNUMBER(O11)),ROUND((O11-N11)*1440,1),"")</f>
        <v/>
      </c>
      <c r="Q11" s="6" t="n">
        <v>1</v>
      </c>
      <c r="R11" s="6" t="inlineStr">
        <is>
          <t>https://github.com/soham956/OpenAPPA/pull/19</t>
        </is>
      </c>
      <c r="S11" s="6" t="inlineStr">
        <is>
          <t>Y</t>
        </is>
      </c>
      <c r="T11" s="5">
        <f>IF(S11="Y",SUMIFS($P$2:$P$62,$A$2:$A$62,A11&amp;"")/20,"")</f>
        <v/>
      </c>
      <c r="U11" s="5">
        <f>IF(OR(T11="",L11=""),"",T11/L11)</f>
        <v/>
      </c>
      <c r="V11" s="6" t="inlineStr">
        <is>
          <t>Accepted: CI green, 16 tests with stubs, PKCE loopback consent (127.0.0.1), token mode 600, no live run. Combined wave-3 check 220/220.</t>
        </is>
      </c>
    </row>
    <row r="12">
      <c r="A12" s="2" t="inlineStr">
        <is>
          <t>T4.1</t>
        </is>
      </c>
      <c r="B12" s="2" t="inlineStr">
        <is>
          <t>S4</t>
        </is>
      </c>
      <c r="C12" s="2" t="inlineStr">
        <is>
          <t>`npm run reset` and `npm run drop`.</t>
        </is>
      </c>
      <c r="D12" s="2" t="inlineStr">
        <is>
          <t>Rowan</t>
        </is>
      </c>
      <c r="E12" s="2" t="n">
        <v>3</v>
      </c>
      <c r="F12" s="2" t="inlineStr">
        <is>
          <t>feat/T4.1-reset-drop</t>
        </is>
      </c>
      <c r="G12" s="2" t="inlineStr">
        <is>
          <t>`clearance/src/reset/reset.ts`, `clearance/src/cli/{reset,drop}.ts`, `clearance/test/reset.test.ts`.</t>
        </is>
      </c>
      <c r="H12" s="2" t="inlineStr">
        <is>
          <t>T1.1, T3.1</t>
        </is>
      </c>
      <c r="I12" s="3" t="n">
        <v>1</v>
      </c>
      <c r="J12" s="2" t="inlineStr">
        <is>
          <t>Opus 5.5</t>
        </is>
      </c>
      <c r="K12" s="2" t="inlineStr">
        <is>
          <t>medium</t>
        </is>
      </c>
      <c r="L12" s="4">
        <f>IF(J12="","",INDEX(Calibration!$D$5:$D$11,MATCH(J12&amp;" "&amp;K12,Calibration!$A$5:$A$11,0)))</f>
        <v/>
      </c>
      <c r="M12" s="5">
        <f>IF(OR(I12="",L12=""),"",I12*L12)</f>
        <v/>
      </c>
      <c r="N12" s="26" t="n">
        <v>46314.56222222222</v>
      </c>
      <c r="O12" s="26" t="n">
        <v>46314.56444444445</v>
      </c>
      <c r="P12" s="7">
        <f>IF(AND(ISNUMBER(N12),ISNUMBER(O12)),ROUND((O12-N12)*1440,1),"")</f>
        <v/>
      </c>
      <c r="Q12" s="6" t="n">
        <v>1</v>
      </c>
      <c r="R12" s="6" t="inlineStr">
        <is>
          <t>https://github.com/soham956/OpenAPPA/pull/17</t>
        </is>
      </c>
      <c r="S12" s="6" t="inlineStr">
        <is>
          <t>Y</t>
        </is>
      </c>
      <c r="T12" s="5">
        <f>IF(S12="Y",SUMIFS($P$2:$P$62,$A$2:$A$62,A12&amp;"")/20,"")</f>
        <v/>
      </c>
      <c r="U12" s="5">
        <f>IF(OR(T12="",L12=""),"",T12/L12)</f>
        <v/>
      </c>
      <c r="V12" s="6" t="inlineStr">
        <is>
          <t>Accepted: in scope, CI green, 13 tests on fake incl. outsideTreeIds()=[] and sidecar refusal. Real Drive factory not yet wired (TODO(T3.2) seam) - wiring scheduled for wave 4. Combined wave-3 check 220/220.</t>
        </is>
      </c>
    </row>
    <row r="13">
      <c r="A13" s="2" t="inlineStr">
        <is>
          <t>T5.2</t>
        </is>
      </c>
      <c r="B13" s="2" t="inlineStr">
        <is>
          <t>S5</t>
        </is>
      </c>
      <c r="C13" s="2" t="inlineStr">
        <is>
          <t>TypeSafe `choice()` adapter and the `npm run fixture:record` CLI.</t>
        </is>
      </c>
      <c r="D13" s="2" t="inlineStr">
        <is>
          <t>Ellis</t>
        </is>
      </c>
      <c r="E13" s="2" t="n">
        <v>3</v>
      </c>
      <c r="F13" s="2" t="inlineStr">
        <is>
          <t>feat/T5.2-jev-adapter</t>
        </is>
      </c>
      <c r="G13" s="2" t="inlineStr">
        <is>
          <t>`clearance/src/classifier/jev.ts`, `clearance/src/cli/record-fixture.ts`, `clearance/test/jev.test.ts`.</t>
        </is>
      </c>
      <c r="H13" s="2" t="inlineStr">
        <is>
          <t>T5.1</t>
        </is>
      </c>
      <c r="I13" s="3" t="n">
        <v>1</v>
      </c>
      <c r="J13" s="2" t="inlineStr">
        <is>
          <t>Opus 5.5</t>
        </is>
      </c>
      <c r="K13" s="2" t="inlineStr">
        <is>
          <t>medium</t>
        </is>
      </c>
      <c r="L13" s="4">
        <f>IF(J13="","",INDEX(Calibration!$D$5:$D$11,MATCH(J13&amp;" "&amp;K13,Calibration!$A$5:$A$11,0)))</f>
        <v/>
      </c>
      <c r="M13" s="5">
        <f>IF(OR(I13="",L13=""),"",I13*L13)</f>
        <v/>
      </c>
      <c r="N13" s="26" t="n">
        <v>46314.56222222222</v>
      </c>
      <c r="O13" s="26" t="n">
        <v>46314.56482638889</v>
      </c>
      <c r="P13" s="7">
        <f>IF(AND(ISNUMBER(N13),ISNUMBER(O13)),ROUND((O13-N13)*1440,1),"")</f>
        <v/>
      </c>
      <c r="Q13" s="6" t="n">
        <v>1</v>
      </c>
      <c r="R13" s="6" t="inlineStr">
        <is>
          <t>https://github.com/soham956/OpenAPPA/pull/18</t>
        </is>
      </c>
      <c r="S13" s="6" t="inlineStr">
        <is>
          <t>Y</t>
        </is>
      </c>
      <c r="T13" s="5">
        <f>IF(S13="Y",SUMIFS($P$2:$P$62,$A$2:$A$62,A13&amp;"")/20,"")</f>
        <v/>
      </c>
      <c r="U13" s="5">
        <f>IF(OR(T13="",L13=""),"",T13/L13)</f>
        <v/>
      </c>
      <c r="V13" s="6" t="inlineStr">
        <is>
          <t>Accepted: CI green, each commit builds, SDK mocked, content-only. Orchestrator ruling: fixture holds 9 entries (08/09 never reach Jev - ID rule first); demo-script wording to be corrected.</t>
        </is>
      </c>
    </row>
    <row r="14">
      <c r="A14" s="2" t="inlineStr">
        <is>
          <t>T7.1</t>
        </is>
      </c>
      <c r="B14" s="2" t="inlineStr">
        <is>
          <t>S7</t>
        </is>
      </c>
      <c r="C14" s="2" t="inlineStr">
        <is>
          <t>Root poller: classify, move, log.</t>
        </is>
      </c>
      <c r="D14" s="2" t="inlineStr">
        <is>
          <t>Jules</t>
        </is>
      </c>
      <c r="E14" s="2" t="n">
        <v>3</v>
      </c>
      <c r="F14" s="2" t="inlineStr">
        <is>
          <t>feat/T7.1-poller</t>
        </is>
      </c>
      <c r="G14" s="2" t="inlineStr">
        <is>
          <t>`clearance/src/poller/poller.ts`, `clearance/test/poller.test.ts`.</t>
        </is>
      </c>
      <c r="H14" s="2" t="inlineStr">
        <is>
          <t>T3.1, T5.1, T8.1</t>
        </is>
      </c>
      <c r="I14" s="3" t="n">
        <v>2</v>
      </c>
      <c r="J14" s="2" t="inlineStr">
        <is>
          <t>Opus 5.5</t>
        </is>
      </c>
      <c r="K14" s="2" t="inlineStr">
        <is>
          <t>medium</t>
        </is>
      </c>
      <c r="L14" s="4">
        <f>IF(J14="","",INDEX(Calibration!$D$5:$D$11,MATCH(J14&amp;" "&amp;K14,Calibration!$A$5:$A$11,0)))</f>
        <v/>
      </c>
      <c r="M14" s="5">
        <f>IF(OR(I14="",L14=""),"",I14*L14)</f>
        <v/>
      </c>
      <c r="N14" s="26" t="n">
        <v>46314.56241898148</v>
      </c>
      <c r="O14" s="26" t="n">
        <v>46314.56422453704</v>
      </c>
      <c r="P14" s="7">
        <f>IF(AND(ISNUMBER(N14),ISNUMBER(O14)),ROUND((O14-N14)*1440,1),"")</f>
        <v/>
      </c>
      <c r="Q14" s="6" t="n">
        <v>1</v>
      </c>
      <c r="R14" s="6" t="inlineStr">
        <is>
          <t>https://github.com/soham956/OpenAPPA/pull/16</t>
        </is>
      </c>
      <c r="S14" s="6" t="inlineStr">
        <is>
          <t>Y</t>
        </is>
      </c>
      <c r="T14" s="5">
        <f>IF(S14="Y",SUMIFS($P$2:$P$62,$A$2:$A$62,A14&amp;"")/20,"")</f>
        <v/>
      </c>
      <c r="U14" s="5">
        <f>IF(OR(T14="",L14=""),"",T14/L14)</f>
        <v/>
      </c>
      <c r="V14" s="6" t="inlineStr">
        <is>
          <t>Accepted: in scope (2 files), CI green, 9 tests incl. restart/retry. Known edge: a log-write failure after a successful move loses that classify line (noted for T7.2). Combined wave-3 check 220/220.</t>
        </is>
      </c>
    </row>
    <row r="15">
      <c r="A15" s="2" t="inlineStr">
        <is>
          <t>T8.2</t>
        </is>
      </c>
      <c r="B15" s="2" t="inlineStr">
        <is>
          <t>S8</t>
        </is>
      </c>
      <c r="C15" s="2" t="inlineStr">
        <is>
          <t>`npm run compare` and `expected-decisions.json`.</t>
        </is>
      </c>
      <c r="D15" s="2" t="inlineStr">
        <is>
          <t>Mika</t>
        </is>
      </c>
      <c r="E15" s="2" t="n">
        <v>3</v>
      </c>
      <c r="F15" s="2" t="inlineStr">
        <is>
          <t>feat/T8.2-compare</t>
        </is>
      </c>
      <c r="G15" s="2" t="inlineStr">
        <is>
          <t>`clearance/src/log/compare.ts`, `clearance/src/cli/compare.ts`, `clearance/expected-decisions.json`, `clearance/test/compare.test.ts`.</t>
        </is>
      </c>
      <c r="H15" s="2" t="inlineStr">
        <is>
          <t>T8.1, T2.1</t>
        </is>
      </c>
      <c r="I15" s="3" t="n">
        <v>1</v>
      </c>
      <c r="J15" s="2" t="inlineStr">
        <is>
          <t>Sonnet 5.5</t>
        </is>
      </c>
      <c r="K15" s="2" t="inlineStr">
        <is>
          <t>medium</t>
        </is>
      </c>
      <c r="L15" s="4">
        <f>IF(J15="","",INDEX(Calibration!$D$5:$D$11,MATCH(J15&amp;" "&amp;K15,Calibration!$A$5:$A$11,0)))</f>
        <v/>
      </c>
      <c r="M15" s="5">
        <f>IF(OR(I15="",L15=""),"",I15*L15)</f>
        <v/>
      </c>
      <c r="N15" s="26" t="n">
        <v>46314.56224537037</v>
      </c>
      <c r="O15" s="26" t="n">
        <v>46314.56439814815</v>
      </c>
      <c r="P15" s="7">
        <f>IF(AND(ISNUMBER(N15),ISNUMBER(O15)),ROUND((O15-N15)*1440,1),"")</f>
        <v/>
      </c>
      <c r="Q15" s="6" t="n">
        <v>1</v>
      </c>
      <c r="R15" s="6" t="inlineStr">
        <is>
          <t>https://github.com/soham956/OpenAPPA/pull/15</t>
        </is>
      </c>
      <c r="S15" s="6" t="inlineStr">
        <is>
          <t>Y</t>
        </is>
      </c>
      <c r="T15" s="5">
        <f>IF(S15="Y",SUMIFS($P$2:$P$62,$A$2:$A$62,A15&amp;"")/20,"")</f>
        <v/>
      </c>
      <c r="U15" s="5">
        <f>IF(OR(T15="",L15=""),"",T15/L15)</f>
        <v/>
      </c>
      <c r="V15" s="6" t="inlineStr">
        <is>
          <t>Accepted: in scope (4 files), CI green, 18 tests; reasons checked against demo-script text. Combined wave-3 check 220/220.</t>
        </is>
      </c>
    </row>
    <row r="16">
      <c r="A16" s="2" t="inlineStr">
        <is>
          <t>T10.2</t>
        </is>
      </c>
      <c r="B16" s="2" t="inlineStr">
        <is>
          <t>S10</t>
        </is>
      </c>
      <c r="C16" s="2" t="inlineStr">
        <is>
          <t>The guard: sessions, trusted args, narrowing acceptance, tool run and `tool_result`, reason rewrite, `enforce` lines.</t>
        </is>
      </c>
      <c r="D16" s="2" t="inlineStr">
        <is>
          <t>Quinn</t>
        </is>
      </c>
      <c r="E16" s="2" t="n">
        <v>3</v>
      </c>
      <c r="F16" s="2" t="inlineStr">
        <is>
          <t>feat/T10.2-guard</t>
        </is>
      </c>
      <c r="G16" s="2" t="inlineStr">
        <is>
          <t>`clearance/src/sidecar/{guard,reasons,audiences}.ts`, `clearance/test/guard.test.ts`, `clearance/test/reasons.test.ts`, `clearance/test/fixtures/runtime/guard/*.json`.</t>
        </is>
      </c>
      <c r="H16" s="2" t="inlineStr">
        <is>
          <t>T10.1, T8.1, T9.1, T11.1, T3.1</t>
        </is>
      </c>
      <c r="I16" s="3" t="n">
        <v>3</v>
      </c>
      <c r="J16" s="2" t="inlineStr">
        <is>
          <t>Opus 5.5</t>
        </is>
      </c>
      <c r="K16" s="2" t="inlineStr">
        <is>
          <t>high</t>
        </is>
      </c>
      <c r="L16" s="4">
        <f>IF(J16="","",INDEX(Calibration!$D$5:$D$11,MATCH(J16&amp;" "&amp;K16,Calibration!$A$5:$A$11,0)))</f>
        <v/>
      </c>
      <c r="M16" s="5">
        <f>IF(OR(I16="",L16=""),"",I16*L16)</f>
        <v/>
      </c>
      <c r="N16" s="26" t="n">
        <v>46314.5622337963</v>
      </c>
      <c r="O16" s="26" t="n">
        <v>46314.5671412037</v>
      </c>
      <c r="P16" s="7">
        <f>IF(AND(ISNUMBER(N16),ISNUMBER(O16)),ROUND((O16-N16)*1440,1),"")</f>
        <v/>
      </c>
      <c r="Q16" s="6" t="n">
        <v>1</v>
      </c>
      <c r="R16" s="6" t="inlineStr">
        <is>
          <t>https://github.com/soham956/OpenAPPA/pull/20</t>
        </is>
      </c>
      <c r="S16" s="6" t="inlineStr">
        <is>
          <t>Y</t>
        </is>
      </c>
      <c r="T16" s="5">
        <f>IF(S16="Y",SUMIFS($P$2:$P$62,$A$2:$A$62,A16&amp;"")/20,"")</f>
        <v/>
      </c>
      <c r="U16" s="5">
        <f>IF(OR(T16="",L16=""),"",T16/L16)</f>
        <v/>
      </c>
      <c r="V16" s="6" t="inlineStr">
        <is>
          <t>Accepted: exact 2a/2b/2c reasons live + replayed from fixtures; denied tools never run; CI ran live guard tests. Combined wave-3 check 220/220. Has its own default drive tools - T12.1 to inject T11.2's.</t>
        </is>
      </c>
    </row>
    <row r="17">
      <c r="A17" s="2" t="inlineStr">
        <is>
          <t>T11.2</t>
        </is>
      </c>
      <c r="B17" s="2" t="inlineStr">
        <is>
          <t>S11</t>
        </is>
      </c>
      <c r="C17" s="2" t="inlineStr">
        <is>
          <t>`drive_list` and `drive_read` tools.</t>
        </is>
      </c>
      <c r="D17" s="2" t="inlineStr">
        <is>
          <t>Remy</t>
        </is>
      </c>
      <c r="E17" s="2" t="n">
        <v>3</v>
      </c>
      <c r="F17" s="2" t="inlineStr">
        <is>
          <t>feat/T11.2-drive-tools</t>
        </is>
      </c>
      <c r="G17" s="2" t="inlineStr">
        <is>
          <t>`clearance/src/tools/drive.ts`, `clearance/test/tools-drive.test.ts`.</t>
        </is>
      </c>
      <c r="H17" s="2" t="inlineStr">
        <is>
          <t>T3.1</t>
        </is>
      </c>
      <c r="I17" s="3" t="n">
        <v>1</v>
      </c>
      <c r="J17" s="2" t="inlineStr">
        <is>
          <t>Sonnet 5.5</t>
        </is>
      </c>
      <c r="K17" s="2" t="inlineStr">
        <is>
          <t>medium</t>
        </is>
      </c>
      <c r="L17" s="4">
        <f>IF(J17="","",INDEX(Calibration!$D$5:$D$11,MATCH(J17&amp;" "&amp;K17,Calibration!$A$5:$A$11,0)))</f>
        <v/>
      </c>
      <c r="M17" s="5">
        <f>IF(OR(I17="",L17=""),"",I17*L17)</f>
        <v/>
      </c>
      <c r="N17" s="26" t="n">
        <v>46314.56225694445</v>
      </c>
      <c r="O17" s="26" t="n">
        <v>46314.56357638889</v>
      </c>
      <c r="P17" s="7">
        <f>IF(AND(ISNUMBER(N17),ISNUMBER(O17)),ROUND((O17-N17)*1440,1),"")</f>
        <v/>
      </c>
      <c r="Q17" s="6" t="n">
        <v>1</v>
      </c>
      <c r="R17" s="6" t="inlineStr">
        <is>
          <t>https://github.com/soham956/OpenAPPA/pull/14</t>
        </is>
      </c>
      <c r="S17" s="6" t="inlineStr">
        <is>
          <t>Y</t>
        </is>
      </c>
      <c r="T17" s="5">
        <f>IF(S17="Y",SUMIFS($P$2:$P$62,$A$2:$A$62,A17&amp;"")/20,"")</f>
        <v/>
      </c>
      <c r="U17" s="5">
        <f>IF(OR(T17="",L17=""),"",T17/L17)</f>
        <v/>
      </c>
      <c r="V17" s="6" t="inlineStr">
        <is>
          <t>Accepted: in scope (2 files), CI green, no APPA calls, DriveScopeError outside tree. Combined wave-3 check 220/220.</t>
        </is>
      </c>
    </row>
    <row r="18">
      <c r="A18" s="2" t="inlineStr">
        <is>
          <t>T3.3</t>
        </is>
      </c>
      <c r="B18" s="2" t="inlineStr">
        <is>
          <t>S3</t>
        </is>
      </c>
      <c r="C18" s="2" t="inlineStr">
        <is>
          <t>Live Drive check against the real folder. Fix any Workspace or Shared Drive quirks.</t>
        </is>
      </c>
      <c r="D18" s="2" t="inlineStr">
        <is>
          <t>Sasha</t>
        </is>
      </c>
      <c r="E18" s="2" t="n">
        <v>4</v>
      </c>
      <c r="F18" s="2" t="inlineStr">
        <is>
          <t>feat/T3.3-live-drive</t>
        </is>
      </c>
      <c r="G18" s="2" t="inlineStr">
        <is>
          <t>`clearance/src/drive/{google,auth}.ts`, `clearance/docs/drive-setup.md`.</t>
        </is>
      </c>
      <c r="H18" s="2" t="inlineStr">
        <is>
          <t>T3.2, T4.1</t>
        </is>
      </c>
      <c r="I18" s="3" t="n">
        <v>1</v>
      </c>
      <c r="J18" s="2" t="inlineStr">
        <is>
          <t>Opus 5.5</t>
        </is>
      </c>
      <c r="K18" s="2" t="inlineStr">
        <is>
          <t>medium</t>
        </is>
      </c>
      <c r="L18" s="4">
        <f>IF(J18="","",INDEX(Calibration!$D$5:$D$11,MATCH(J18&amp;" "&amp;K18,Calibration!$A$5:$A$11,0)))</f>
        <v/>
      </c>
      <c r="M18" s="5">
        <f>IF(OR(I18="",L18=""),"",I18*L18)</f>
        <v/>
      </c>
      <c r="N18" s="26" t="n">
        <v>46314.57548611111</v>
      </c>
      <c r="O18" s="26" t="n">
        <v>46314.57783564815</v>
      </c>
      <c r="P18" s="7">
        <f>IF(AND(ISNUMBER(N18),ISNUMBER(O18)),ROUND((O18-N18)*1440,1),"")</f>
        <v/>
      </c>
      <c r="Q18" s="6" t="n">
        <v>1</v>
      </c>
      <c r="R18" s="6" t="inlineStr">
        <is>
          <t>(no PR - verification only, no fixes needed)</t>
        </is>
      </c>
      <c r="S18" s="6" t="inlineStr">
        <is>
          <t>Y</t>
        </is>
      </c>
      <c r="T18" s="5">
        <f>IF(S18="Y",SUMIFS($P$2:$P$62,$A$2:$A$62,A18&amp;"")/20,"")</f>
        <v/>
      </c>
      <c r="U18" s="5">
        <f>IF(OR(T18="",L18=""),"",T18/L18)</f>
        <v/>
      </c>
      <c r="V18" s="6" t="inlineStr">
        <is>
          <t>Accepted: live drive:check without browser, reset x3 + drop on real Workspace Drive, step 0 state verified, no fixes. Reset ~23-45s (don't run live mid-demo). Consent click done by Soham (not agent time). Orchestrator verified git status clean.</t>
        </is>
      </c>
    </row>
    <row r="19">
      <c r="A19" s="2" t="inlineStr">
        <is>
          <t>T6.1</t>
        </is>
      </c>
      <c r="B19" s="2" t="inlineStr">
        <is>
          <t>S6</t>
        </is>
      </c>
      <c r="C19" s="2" t="inlineStr">
        <is>
          <t>Record the Jev fixture live for all 11 files, commit it, and add the full-fixture classifier test.</t>
        </is>
      </c>
      <c r="D19" s="2" t="inlineStr">
        <is>
          <t>Noor</t>
        </is>
      </c>
      <c r="E19" s="2" t="n">
        <v>4</v>
      </c>
      <c r="F19" s="2" t="inlineStr">
        <is>
          <t>feat/T6.1-record-fixture</t>
        </is>
      </c>
      <c r="G19" s="2" t="inlineStr">
        <is>
          <t>`clearance/fixtures/classifications.json`, `clearance/test/classifier-fixture.test.ts`. It may edit `clearance/seed/10-settlement-payment-schedule.txt` only to re-record.</t>
        </is>
      </c>
      <c r="H19" s="2" t="inlineStr">
        <is>
          <t>T5.2, T2.1</t>
        </is>
      </c>
      <c r="I19" s="3" t="n">
        <v>1</v>
      </c>
      <c r="J19" s="2" t="inlineStr">
        <is>
          <t>Opus 5.5</t>
        </is>
      </c>
      <c r="K19" s="2" t="inlineStr">
        <is>
          <t>low</t>
        </is>
      </c>
      <c r="L19" s="4">
        <f>IF(J19="","",INDEX(Calibration!$D$5:$D$11,MATCH(J19&amp;" "&amp;K19,Calibration!$A$5:$A$11,0)))</f>
        <v/>
      </c>
      <c r="M19" s="5">
        <f>IF(OR(I19="",L19=""),"",I19*L19)</f>
        <v/>
      </c>
      <c r="N19" s="26" t="n">
        <v>46314.57394675926</v>
      </c>
      <c r="O19" s="26" t="n">
        <v>46314.57481481481</v>
      </c>
      <c r="P19" s="7">
        <f>IF(AND(ISNUMBER(N19),ISNUMBER(O19)),ROUND((O19-N19)*1440,1),"")</f>
        <v/>
      </c>
      <c r="Q19" s="6" t="n">
        <v>1</v>
      </c>
      <c r="R19" s="6" t="inlineStr">
        <is>
          <t>https://github.com/soham956/OpenAPPA/pull/25</t>
        </is>
      </c>
      <c r="S19" s="6" t="inlineStr">
        <is>
          <t>Y</t>
        </is>
      </c>
      <c r="T19" s="5">
        <f>IF(S19="Y",SUMIFS($P$2:$P$62,$A$2:$A$62,A19&amp;"")/20,"")</f>
        <v/>
      </c>
      <c r="U19" s="5">
        <f>IF(OR(T19="",L19=""),"",T19/L19)</f>
        <v/>
      </c>
      <c r="V19" s="6" t="inlineStr">
        <is>
          <t>Accepted: 9-entry fixture (01-07,11 at 1.0; 10 Legal 0.66 -&gt; low-confidence), 3 live runs, seed 10 edited, no secrets, CI green. Paused while T5.1 test fix landed (not Noor's defect).</t>
        </is>
      </c>
    </row>
    <row r="20">
      <c r="A20" s="2" t="inlineStr">
        <is>
          <t>T7.2</t>
        </is>
      </c>
      <c r="B20" s="2" t="inlineStr">
        <is>
          <t>S7</t>
        </is>
      </c>
      <c r="C20" s="2" t="inlineStr">
        <is>
          <t>`npm start`: start the sidecar, then the poller. Ctrl-C stops both.</t>
        </is>
      </c>
      <c r="D20" s="2" t="inlineStr">
        <is>
          <t>Remy</t>
        </is>
      </c>
      <c r="E20" s="2" t="n">
        <v>4</v>
      </c>
      <c r="F20" s="2" t="inlineStr">
        <is>
          <t>feat/T7.2-start</t>
        </is>
      </c>
      <c r="G20" s="2" t="inlineStr">
        <is>
          <t>`clearance/src/cli/start.ts`, `clearance/test/start.test.ts`.</t>
        </is>
      </c>
      <c r="H20" s="2" t="inlineStr">
        <is>
          <t>T7.1, T10.1, T3.2</t>
        </is>
      </c>
      <c r="I20" s="3" t="n">
        <v>1</v>
      </c>
      <c r="J20" s="2" t="inlineStr">
        <is>
          <t>Sonnet 5.5</t>
        </is>
      </c>
      <c r="K20" s="2" t="inlineStr">
        <is>
          <t>medium</t>
        </is>
      </c>
      <c r="L20" s="4">
        <f>IF(J20="","",INDEX(Calibration!$D$5:$D$11,MATCH(J20&amp;" "&amp;K20,Calibration!$A$5:$A$11,0)))</f>
        <v/>
      </c>
      <c r="M20" s="5">
        <f>IF(OR(I20="",L20=""),"",I20*L20)</f>
        <v/>
      </c>
      <c r="N20" s="26" t="n">
        <v>46314.56958333333</v>
      </c>
      <c r="O20" s="26" t="n">
        <v>46314.57119212963</v>
      </c>
      <c r="P20" s="7">
        <f>IF(AND(ISNUMBER(N20),ISNUMBER(O20)),ROUND((O20-N20)*1440,1),"")</f>
        <v/>
      </c>
      <c r="Q20" s="6" t="n">
        <v>1</v>
      </c>
      <c r="R20" s="6" t="inlineStr">
        <is>
          <t>https://github.com/soham956/OpenAPPA/pull/22</t>
        </is>
      </c>
      <c r="S20" s="6" t="inlineStr">
        <is>
          <t>Y</t>
        </is>
      </c>
      <c r="T20" s="5">
        <f>IF(S20="Y",SUMIFS($P$2:$P$62,$A$2:$A$62,A20&amp;"")/20,"")</f>
        <v/>
      </c>
      <c r="U20" s="5">
        <f>IF(OR(T20="",L20=""),"",T20/L20)</f>
        <v/>
      </c>
      <c r="V20" s="6" t="inlineStr">
        <is>
          <t>Accepted: CI green, 8 tests (order, signals, sidecar death, fail-fast before sidecar). Combined wave-4 check pending.</t>
        </is>
      </c>
    </row>
    <row r="21">
      <c r="A21" s="2" t="inlineStr">
        <is>
          <t>T12.1</t>
        </is>
      </c>
      <c r="B21" s="2" t="inlineStr">
        <is>
          <t>S12</t>
        </is>
      </c>
      <c r="C21" s="2" t="inlineStr">
        <is>
          <t>The scripted agent and `npm run agent`.</t>
        </is>
      </c>
      <c r="D21" s="2" t="inlineStr">
        <is>
          <t>Rowan</t>
        </is>
      </c>
      <c r="E21" s="2" t="n">
        <v>4</v>
      </c>
      <c r="F21" s="2" t="inlineStr">
        <is>
          <t>feat/T12.1-scripted-agent</t>
        </is>
      </c>
      <c r="G21" s="2" t="inlineStr">
        <is>
          <t>`clearance/src/agent/script.ts`, `clearance/src/cli/agent.ts`, `clearance/test/agent.test.ts`.</t>
        </is>
      </c>
      <c r="H21" s="2" t="inlineStr">
        <is>
          <t>T10.2, T11.1, T11.2, T3.2</t>
        </is>
      </c>
      <c r="I21" s="3" t="n">
        <v>2</v>
      </c>
      <c r="J21" s="2" t="inlineStr">
        <is>
          <t>Opus 5.5</t>
        </is>
      </c>
      <c r="K21" s="2" t="inlineStr">
        <is>
          <t>medium</t>
        </is>
      </c>
      <c r="L21" s="4">
        <f>IF(J21="","",INDEX(Calibration!$D$5:$D$11,MATCH(J21&amp;" "&amp;K21,Calibration!$A$5:$A$11,0)))</f>
        <v/>
      </c>
      <c r="M21" s="5">
        <f>IF(OR(I21="",L21=""),"",I21*L21)</f>
        <v/>
      </c>
      <c r="N21" s="26" t="n">
        <v>46314.57450231481</v>
      </c>
      <c r="O21" s="26" t="n">
        <v>46314.57635416667</v>
      </c>
      <c r="P21" s="7">
        <f>IF(AND(ISNUMBER(N21),ISNUMBER(O21)),ROUND((O21-N21)*1440,1),"")</f>
        <v/>
      </c>
      <c r="Q21" s="6" t="n">
        <v>2</v>
      </c>
      <c r="R21" s="6" t="inlineStr">
        <is>
          <t>https://github.com/soham956/OpenAPPA/pull/24</t>
        </is>
      </c>
      <c r="S21" s="6" t="inlineStr">
        <is>
          <t>Y</t>
        </is>
      </c>
      <c r="T21" s="5">
        <f>IF(S21="Y",SUMIFS($P$2:$P$62,$A$2:$A$62,A21&amp;"")/20,"")</f>
        <v/>
      </c>
      <c r="U21" s="5">
        <f>IF(OR(T21="",L21=""),"",T21/L21)</f>
        <v/>
      </c>
      <c r="V21" s="6" t="inlineStr">
        <is>
          <t>Accepted attempt 2: guarded drive_list under new 'list' step (schema.ts STEPS), 7 tests, CI green, merged #24. Real-runtime check conforms once guard logs caller's step (Quinn follow-up) and #26 lands.</t>
        </is>
      </c>
    </row>
    <row r="22">
      <c r="A22" s="2" t="inlineStr">
        <is>
          <t>T12.2</t>
        </is>
      </c>
      <c r="B22" s="2" t="inlineStr">
        <is>
          <t>S12</t>
        </is>
      </c>
      <c r="C22" s="2" t="inlineStr">
        <is>
          <t>CI end-to-end test of step 2 with the real `appa` sidecar and a fake Drive.</t>
        </is>
      </c>
      <c r="D22" s="2" t="inlineStr">
        <is>
          <t>Rowan</t>
        </is>
      </c>
      <c r="E22" s="2" t="n">
        <v>5</v>
      </c>
      <c r="F22" s="2" t="inlineStr">
        <is>
          <t>feat/T12.2-e2e-step2</t>
        </is>
      </c>
      <c r="G22" s="2" t="inlineStr">
        <is>
          <t>`clearance/test/e2e/step2.test.ts`, `clearance/test/e2e/helpers.ts`.</t>
        </is>
      </c>
      <c r="H22" s="2" t="inlineStr">
        <is>
          <t>T12.1, T8.2</t>
        </is>
      </c>
      <c r="I22" s="3" t="n">
        <v>2</v>
      </c>
      <c r="J22" s="2" t="inlineStr">
        <is>
          <t>Opus 5.5</t>
        </is>
      </c>
      <c r="K22" s="2" t="inlineStr">
        <is>
          <t>medium</t>
        </is>
      </c>
      <c r="L22" s="4">
        <f>IF(J22="","",INDEX(Calibration!$D$5:$D$11,MATCH(J22&amp;" "&amp;K22,Calibration!$A$5:$A$11,0)))</f>
        <v/>
      </c>
      <c r="M22" s="5">
        <f>IF(OR(I22="",L22=""),"",I22*L22)</f>
        <v/>
      </c>
      <c r="N22" s="26" t="n">
        <v>46314.57934027778</v>
      </c>
      <c r="O22" s="26" t="n">
        <v>46314.58083333333</v>
      </c>
      <c r="P22" s="7">
        <f>IF(AND(ISNUMBER(N22),ISNUMBER(O22)),ROUND((O22-N22)*1440,1),"")</f>
        <v/>
      </c>
      <c r="Q22" s="6" t="n">
        <v>1</v>
      </c>
      <c r="R22" s="6" t="inlineStr">
        <is>
          <t>https://github.com/soham956/OpenAPPA/pull/29</t>
        </is>
      </c>
      <c r="S22" s="6" t="inlineStr">
        <is>
          <t>Y</t>
        </is>
      </c>
      <c r="T22" s="5">
        <f>IF(S22="Y",SUMIFS($P$2:$P$62,$A$2:$A$62,A22&amp;"")/20,"")</f>
        <v/>
      </c>
      <c r="U22" s="5">
        <f>IF(OR(T22="",L22=""),"",T22/L22)</f>
        <v/>
      </c>
      <c r="V22" s="6" t="inlineStr">
        <is>
          <t>Accepted: e2e step 2 against real appa + fake Drive, conforms to expected (11 enforce + 1 outbox), second run identical, ran in CI (not skipped).</t>
        </is>
      </c>
    </row>
    <row r="23">
      <c r="A23" s="2" t="inlineStr">
        <is>
          <t>T2.1</t>
        </is>
      </c>
      <c r="B23" s="2" t="inlineStr">
        <is>
          <t>S2</t>
        </is>
      </c>
      <c r="C23" s="15" t="n"/>
      <c r="D23" s="2" t="inlineStr">
        <is>
          <t>Mika</t>
        </is>
      </c>
      <c r="E23" s="2" t="n">
        <v>1</v>
      </c>
      <c r="F23" s="15" t="n"/>
      <c r="G23" s="15" t="n"/>
      <c r="H23" s="15" t="n"/>
      <c r="I23" s="5" t="n"/>
      <c r="J23" s="2" t="inlineStr">
        <is>
          <t>Sonnet 5.5</t>
        </is>
      </c>
      <c r="K23" s="2" t="inlineStr">
        <is>
          <t>medium</t>
        </is>
      </c>
      <c r="L23" s="4">
        <f>IF(J23="","",INDEX(Calibration!$D$5:$D$11,MATCH(J23&amp;" "&amp;K23,Calibration!$A$5:$A$11,0)))</f>
        <v/>
      </c>
      <c r="M23" s="5">
        <f>IF(OR(I23="",L23=""),"",I23*L23)</f>
        <v/>
      </c>
      <c r="N23" s="26" t="n">
        <v>46314.51927083333</v>
      </c>
      <c r="O23" s="26" t="n">
        <v>46314.52086805556</v>
      </c>
      <c r="P23" s="7">
        <f>IF(AND(ISNUMBER(N23),ISNUMBER(O23)),ROUND((O23-N23)*1440,1),"")</f>
        <v/>
      </c>
      <c r="Q23" s="14" t="n"/>
      <c r="R23" s="14" t="n"/>
      <c r="S23" s="6" t="inlineStr">
        <is>
          <t>N</t>
        </is>
      </c>
      <c r="T23" s="5">
        <f>IF(S23="Y",SUMIFS($P$2:$P$62,$A$2:$A$62,A23&amp;"")/20,"")</f>
        <v/>
      </c>
      <c r="U23" s="5">
        <f>IF(OR(T23="",L23=""),"",T23/L23)</f>
        <v/>
      </c>
      <c r="V23" s="6" t="inlineStr">
        <is>
          <t>Rejected attempt 1: tsc TS2345 at seed.test.ts:50 (only visible once T1.1's TypeScript was applied).</t>
        </is>
      </c>
    </row>
    <row r="24">
      <c r="A24" s="2" t="inlineStr">
        <is>
          <t>T5.1</t>
        </is>
      </c>
      <c r="B24" s="2" t="inlineStr">
        <is>
          <t>S5</t>
        </is>
      </c>
      <c r="C24" s="15" t="n"/>
      <c r="D24" s="2" t="inlineStr">
        <is>
          <t>Ellis</t>
        </is>
      </c>
      <c r="E24" s="2" t="n">
        <v>2</v>
      </c>
      <c r="F24" s="15" t="n"/>
      <c r="G24" s="15" t="n"/>
      <c r="H24" s="15" t="n"/>
      <c r="I24" s="5" t="n"/>
      <c r="J24" s="2" t="inlineStr">
        <is>
          <t>Opus 5.5</t>
        </is>
      </c>
      <c r="K24" s="2" t="inlineStr">
        <is>
          <t>medium</t>
        </is>
      </c>
      <c r="L24" s="4">
        <f>IF(J24="","",INDEX(Calibration!$D$5:$D$11,MATCH(J24&amp;" "&amp;K24,Calibration!$A$5:$A$11,0)))</f>
        <v/>
      </c>
      <c r="M24" s="5">
        <f>IF(OR(I24="",L24=""),"",I24*L24)</f>
        <v/>
      </c>
      <c r="N24" s="26" t="n">
        <v>46314.54443287037</v>
      </c>
      <c r="O24" s="26" t="n">
        <v>46314.54645833333</v>
      </c>
      <c r="P24" s="7">
        <f>IF(AND(ISNUMBER(N24),ISNUMBER(O24)),ROUND((O24-N24)*1440,1),"")</f>
        <v/>
      </c>
      <c r="Q24" s="14" t="n"/>
      <c r="R24" s="14" t="n"/>
      <c r="S24" s="6" t="inlineStr">
        <is>
          <t>N</t>
        </is>
      </c>
      <c r="T24" s="5">
        <f>IF(S24="Y",SUMIFS($P$2:$P$62,$A$2:$A$62,A24&amp;"")/20,"")</f>
        <v/>
      </c>
      <c r="U24" s="5">
        <f>IF(OR(T24="",L24=""),"",T24/L24)</f>
        <v/>
      </c>
      <c r="V24" s="6" t="inlineStr">
        <is>
          <t>Original attempt: later found defective (sample fixture keyed to seed-10 hash; tests wrote into committed fixture) - superseded by rework.</t>
        </is>
      </c>
    </row>
    <row r="25">
      <c r="A25" s="2" t="inlineStr">
        <is>
          <t>T1.2</t>
        </is>
      </c>
      <c r="B25" s="2" t="inlineStr">
        <is>
          <t>S1</t>
        </is>
      </c>
      <c r="C25" s="15" t="n"/>
      <c r="D25" s="2" t="inlineStr">
        <is>
          <t>Rowan</t>
        </is>
      </c>
      <c r="E25" s="2" t="n">
        <v>2</v>
      </c>
      <c r="F25" s="15" t="n"/>
      <c r="G25" s="15" t="n"/>
      <c r="H25" s="15" t="n"/>
      <c r="I25" s="5" t="n"/>
      <c r="J25" s="2" t="inlineStr">
        <is>
          <t>Opus 5.5</t>
        </is>
      </c>
      <c r="K25" s="2" t="inlineStr">
        <is>
          <t>medium</t>
        </is>
      </c>
      <c r="L25" s="4">
        <f>IF(J25="","",INDEX(Calibration!$D$5:$D$11,MATCH(J25&amp;" "&amp;K25,Calibration!$A$5:$A$11,0)))</f>
        <v/>
      </c>
      <c r="M25" s="5">
        <f>IF(OR(I25="",L25=""),"",I25*L25)</f>
        <v/>
      </c>
      <c r="N25" s="26" t="n">
        <v>46314.54398148148</v>
      </c>
      <c r="O25" s="26" t="n">
        <v>46314.54516203704</v>
      </c>
      <c r="P25" s="7">
        <f>IF(AND(ISNUMBER(N25),ISNUMBER(O25)),ROUND((O25-N25)*1440,1),"")</f>
        <v/>
      </c>
      <c r="Q25" s="14" t="n"/>
      <c r="R25" s="14" t="n"/>
      <c r="S25" s="14" t="n"/>
      <c r="T25" s="5">
        <f>IF(S25="Y",SUMIFS($P$2:$P$62,$A$2:$A$62,A25&amp;"")/20,"")</f>
        <v/>
      </c>
      <c r="U25" s="5">
        <f>IF(OR(T25="",L25=""),"",T25/L25)</f>
        <v/>
      </c>
      <c r="V25" s="6" t="inlineStr">
        <is>
          <t>Earlier work segment of the accepted attempt (paused while blocked).</t>
        </is>
      </c>
    </row>
    <row r="26">
      <c r="A26" s="2" t="inlineStr">
        <is>
          <t>T8.2</t>
        </is>
      </c>
      <c r="B26" s="2" t="inlineStr">
        <is>
          <t>S8</t>
        </is>
      </c>
      <c r="C26" s="15" t="n"/>
      <c r="D26" s="2" t="inlineStr">
        <is>
          <t>Mika</t>
        </is>
      </c>
      <c r="E26" s="2" t="n">
        <v>3</v>
      </c>
      <c r="F26" s="15" t="n"/>
      <c r="G26" s="15" t="n"/>
      <c r="H26" s="15" t="n"/>
      <c r="I26" s="5" t="n"/>
      <c r="J26" s="2" t="inlineStr">
        <is>
          <t>Sonnet 5.5</t>
        </is>
      </c>
      <c r="K26" s="2" t="inlineStr">
        <is>
          <t>medium</t>
        </is>
      </c>
      <c r="L26" s="4">
        <f>IF(J26="","",INDEX(Calibration!$D$5:$D$11,MATCH(J26&amp;" "&amp;K26,Calibration!$A$5:$A$11,0)))</f>
        <v/>
      </c>
      <c r="M26" s="5">
        <f>IF(OR(I26="",L26=""),"",I26*L26)</f>
        <v/>
      </c>
      <c r="N26" s="26" t="n">
        <v>46314.57449074074</v>
      </c>
      <c r="O26" s="26" t="n">
        <v>46314.57518518518</v>
      </c>
      <c r="P26" s="7">
        <f>IF(AND(ISNUMBER(N26),ISNUMBER(O26)),ROUND((O26-N26)*1440,1),"")</f>
        <v/>
      </c>
      <c r="Q26" s="14" t="n"/>
      <c r="R26" s="6" t="inlineStr">
        <is>
          <t>https://github.com/soham956/OpenAPPA/pull/26</t>
        </is>
      </c>
      <c r="S26" s="14" t="n"/>
      <c r="T26" s="5">
        <f>IF(S26="Y",SUMIFS($P$2:$P$62,$A$2:$A$62,A26&amp;"")/20,"")</f>
        <v/>
      </c>
      <c r="U26" s="5">
        <f>IF(OR(T26="",L26=""),"",T26/L26)</f>
        <v/>
      </c>
      <c r="V26" s="6" t="inlineStr">
        <is>
          <t>Follow-up (orchestrator request, not rework): expected list line for guarded drive_list (PR #26, merges after #24)</t>
        </is>
      </c>
    </row>
    <row r="27">
      <c r="A27" s="2" t="inlineStr">
        <is>
          <t>T4.1</t>
        </is>
      </c>
      <c r="B27" s="2" t="inlineStr">
        <is>
          <t>S4</t>
        </is>
      </c>
      <c r="C27" s="15" t="n"/>
      <c r="D27" s="2" t="inlineStr">
        <is>
          <t>Rowan</t>
        </is>
      </c>
      <c r="E27" s="2" t="n">
        <v>3</v>
      </c>
      <c r="F27" s="15" t="n"/>
      <c r="G27" s="15" t="n"/>
      <c r="H27" s="15" t="n"/>
      <c r="I27" s="5" t="n"/>
      <c r="J27" s="2" t="inlineStr">
        <is>
          <t>Opus 5.5</t>
        </is>
      </c>
      <c r="K27" s="2" t="inlineStr">
        <is>
          <t>medium</t>
        </is>
      </c>
      <c r="L27" s="4">
        <f>IF(J27="","",INDEX(Calibration!$D$5:$D$11,MATCH(J27&amp;" "&amp;K27,Calibration!$A$5:$A$11,0)))</f>
        <v/>
      </c>
      <c r="M27" s="5">
        <f>IF(OR(I27="",L27=""),"",I27*L27)</f>
        <v/>
      </c>
      <c r="N27" s="26" t="n">
        <v>46314.56958333333</v>
      </c>
      <c r="O27" s="26" t="n">
        <v>46314.57152777778</v>
      </c>
      <c r="P27" s="7">
        <f>IF(AND(ISNUMBER(N27),ISNUMBER(O27)),ROUND((O27-N27)*1440,1),"")</f>
        <v/>
      </c>
      <c r="Q27" s="14" t="n"/>
      <c r="R27" s="6" t="inlineStr">
        <is>
          <t>https://github.com/soham956/OpenAPPA/pull/21</t>
        </is>
      </c>
      <c r="S27" s="14" t="n"/>
      <c r="T27" s="5">
        <f>IF(S27="Y",SUMIFS($P$2:$P$62,$A$2:$A$62,A27&amp;"")/20,"")</f>
        <v/>
      </c>
      <c r="U27" s="5">
        <f>IF(OR(T27="",L27=""),"",T27/L27)</f>
        <v/>
      </c>
      <c r="V27" s="6" t="inlineStr">
        <is>
          <t>Follow-up (orchestrator request, not rework): wire Drive factory into reset/drop (PR #21)</t>
        </is>
      </c>
    </row>
    <row r="28">
      <c r="A28" s="2" t="inlineStr">
        <is>
          <t>T10.2</t>
        </is>
      </c>
      <c r="B28" s="2" t="inlineStr">
        <is>
          <t>S10</t>
        </is>
      </c>
      <c r="C28" s="15" t="n"/>
      <c r="D28" s="2" t="inlineStr">
        <is>
          <t>Quinn</t>
        </is>
      </c>
      <c r="E28" s="2" t="n">
        <v>3</v>
      </c>
      <c r="F28" s="15" t="n"/>
      <c r="G28" s="15" t="n"/>
      <c r="H28" s="15" t="n"/>
      <c r="I28" s="5" t="n"/>
      <c r="J28" s="2" t="inlineStr">
        <is>
          <t>Opus 5.5</t>
        </is>
      </c>
      <c r="K28" s="2" t="inlineStr">
        <is>
          <t>high</t>
        </is>
      </c>
      <c r="L28" s="4">
        <f>IF(J28="","",INDEX(Calibration!$D$5:$D$11,MATCH(J28&amp;" "&amp;K28,Calibration!$A$5:$A$11,0)))</f>
        <v/>
      </c>
      <c r="M28" s="5">
        <f>IF(OR(I28="",L28=""),"",I28*L28)</f>
        <v/>
      </c>
      <c r="N28" s="26" t="n">
        <v>46314.57690972222</v>
      </c>
      <c r="O28" s="26" t="n">
        <v>46314.57835648148</v>
      </c>
      <c r="P28" s="7">
        <f>IF(AND(ISNUMBER(N28),ISNUMBER(O28)),ROUND((O28-N28)*1440,1),"")</f>
        <v/>
      </c>
      <c r="Q28" s="14" t="n"/>
      <c r="R28" s="6" t="inlineStr">
        <is>
          <t>https://github.com/soham956/OpenAPPA/pull/27</t>
        </is>
      </c>
      <c r="S28" s="14" t="n"/>
      <c r="T28" s="5">
        <f>IF(S28="Y",SUMIFS($P$2:$P$62,$A$2:$A$62,A28&amp;"")/20,"")</f>
        <v/>
      </c>
      <c r="U28" s="5">
        <f>IF(OR(T28="",L28=""),"",T28/L28)</f>
        <v/>
      </c>
      <c r="V28" s="6" t="inlineStr">
        <is>
          <t>Follow-up (orchestrator request, not rework): guard logs caller's step for drive_list (PR #27)</t>
        </is>
      </c>
    </row>
    <row r="29">
      <c r="A29" s="2" t="inlineStr">
        <is>
          <t>T6.1</t>
        </is>
      </c>
      <c r="B29" s="2" t="inlineStr">
        <is>
          <t>S6</t>
        </is>
      </c>
      <c r="C29" s="15" t="n"/>
      <c r="D29" s="2" t="inlineStr">
        <is>
          <t>Noor</t>
        </is>
      </c>
      <c r="E29" s="2" t="n">
        <v>4</v>
      </c>
      <c r="F29" s="15" t="n"/>
      <c r="G29" s="15" t="n"/>
      <c r="H29" s="15" t="n"/>
      <c r="I29" s="5" t="n"/>
      <c r="J29" s="2" t="inlineStr">
        <is>
          <t>Opus 5.5</t>
        </is>
      </c>
      <c r="K29" s="2" t="inlineStr">
        <is>
          <t>low</t>
        </is>
      </c>
      <c r="L29" s="4">
        <f>IF(J29="","",INDEX(Calibration!$D$5:$D$11,MATCH(J29&amp;" "&amp;K29,Calibration!$A$5:$A$11,0)))</f>
        <v/>
      </c>
      <c r="M29" s="5">
        <f>IF(OR(I29="",L29=""),"",I29*L29)</f>
        <v/>
      </c>
      <c r="N29" s="26" t="n">
        <v>46314.56981481481</v>
      </c>
      <c r="O29" s="26" t="n">
        <v>46314.57160879629</v>
      </c>
      <c r="P29" s="7">
        <f>IF(AND(ISNUMBER(N29),ISNUMBER(O29)),ROUND((O29-N29)*1440,1),"")</f>
        <v/>
      </c>
      <c r="Q29" s="14" t="n"/>
      <c r="R29" s="14" t="n"/>
      <c r="S29" s="14" t="n"/>
      <c r="T29" s="5">
        <f>IF(S29="Y",SUMIFS($P$2:$P$62,$A$2:$A$62,A29&amp;"")/20,"")</f>
        <v/>
      </c>
      <c r="U29" s="5">
        <f>IF(OR(T29="",L29=""),"",T29/L29)</f>
        <v/>
      </c>
      <c r="V29" s="6" t="inlineStr">
        <is>
          <t>Earlier work segment of the accepted attempt (paused while blocked).</t>
        </is>
      </c>
    </row>
    <row r="30">
      <c r="A30" s="2" t="inlineStr">
        <is>
          <t>T12.1</t>
        </is>
      </c>
      <c r="B30" s="2" t="inlineStr">
        <is>
          <t>S12</t>
        </is>
      </c>
      <c r="C30" s="15" t="n"/>
      <c r="D30" s="2" t="inlineStr">
        <is>
          <t>Rowan</t>
        </is>
      </c>
      <c r="E30" s="2" t="n">
        <v>4</v>
      </c>
      <c r="F30" s="15" t="n"/>
      <c r="G30" s="15" t="n"/>
      <c r="H30" s="15" t="n"/>
      <c r="I30" s="5" t="n"/>
      <c r="J30" s="2" t="inlineStr">
        <is>
          <t>Opus 5.5</t>
        </is>
      </c>
      <c r="K30" s="2" t="inlineStr">
        <is>
          <t>medium</t>
        </is>
      </c>
      <c r="L30" s="4">
        <f>IF(J30="","",INDEX(Calibration!$D$5:$D$11,MATCH(J30&amp;" "&amp;K30,Calibration!$A$5:$A$11,0)))</f>
        <v/>
      </c>
      <c r="M30" s="5">
        <f>IF(OR(I30="",L30=""),"",I30*L30)</f>
        <v/>
      </c>
      <c r="N30" s="26" t="n">
        <v>46314.57152777778</v>
      </c>
      <c r="O30" s="26" t="n">
        <v>46314.5738425926</v>
      </c>
      <c r="P30" s="7">
        <f>IF(AND(ISNUMBER(N30),ISNUMBER(O30)),ROUND((O30-N30)*1440,1),"")</f>
        <v/>
      </c>
      <c r="Q30" s="14" t="n"/>
      <c r="R30" s="14" t="n"/>
      <c r="S30" s="6" t="inlineStr">
        <is>
          <t>N</t>
        </is>
      </c>
      <c r="T30" s="5">
        <f>IF(S30="Y",SUMIFS($P$2:$P$62,$A$2:$A$62,A30&amp;"")/20,"")</f>
        <v/>
      </c>
      <c r="U30" s="5">
        <f>IF(OR(T30="",L30=""),"",T30/L30)</f>
        <v/>
      </c>
      <c r="V30" s="6" t="inlineStr">
        <is>
          <t>Rejected attempt 1: agent discovered Legal files via unguarded DriveClient.list to fit expected file; orchestrator requires guarded drive_list under new 'list' step.</t>
        </is>
      </c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5" t="n"/>
      <c r="J31" s="15" t="n"/>
      <c r="K31" s="15" t="n"/>
      <c r="L31" s="4">
        <f>IF(J31="","",INDEX(Calibration!$D$5:$D$11,MATCH(J31&amp;" "&amp;K31,Calibration!$A$5:$A$11,0)))</f>
        <v/>
      </c>
      <c r="M31" s="5">
        <f>IF(OR(I31="",L31=""),"",I31*L31)</f>
        <v/>
      </c>
      <c r="N31" s="13" t="n"/>
      <c r="O31" s="13" t="n"/>
      <c r="P31" s="7">
        <f>IF(AND(ISNUMBER(N31),ISNUMBER(O31)),ROUND((O31-N31)*1440,1),"")</f>
        <v/>
      </c>
      <c r="Q31" s="14" t="n"/>
      <c r="R31" s="14" t="n"/>
      <c r="S31" s="14" t="n"/>
      <c r="T31" s="5">
        <f>IF(S31="Y",SUMIFS($P$2:$P$62,$A$2:$A$62,A31&amp;"")/20,"")</f>
        <v/>
      </c>
      <c r="U31" s="5">
        <f>IF(OR(T31="",L31=""),"",T31/L31)</f>
        <v/>
      </c>
      <c r="V31" s="14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5" t="n"/>
      <c r="J32" s="15" t="n"/>
      <c r="K32" s="15" t="n"/>
      <c r="L32" s="4">
        <f>IF(J32="","",INDEX(Calibration!$D$5:$D$11,MATCH(J32&amp;" "&amp;K32,Calibration!$A$5:$A$11,0)))</f>
        <v/>
      </c>
      <c r="M32" s="5">
        <f>IF(OR(I32="",L32=""),"",I32*L32)</f>
        <v/>
      </c>
      <c r="N32" s="13" t="n"/>
      <c r="O32" s="13" t="n"/>
      <c r="P32" s="7">
        <f>IF(AND(ISNUMBER(N32),ISNUMBER(O32)),ROUND((O32-N32)*1440,1),"")</f>
        <v/>
      </c>
      <c r="Q32" s="14" t="n"/>
      <c r="R32" s="14" t="n"/>
      <c r="S32" s="14" t="n"/>
      <c r="T32" s="5">
        <f>IF(S32="Y",SUMIFS($P$2:$P$62,$A$2:$A$62,A32&amp;"")/20,"")</f>
        <v/>
      </c>
      <c r="U32" s="5">
        <f>IF(OR(T32="",L32=""),"",T32/L32)</f>
        <v/>
      </c>
      <c r="V32" s="14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5" t="n"/>
      <c r="J33" s="15" t="n"/>
      <c r="K33" s="15" t="n"/>
      <c r="L33" s="4">
        <f>IF(J33="","",INDEX(Calibration!$D$5:$D$11,MATCH(J33&amp;" "&amp;K33,Calibration!$A$5:$A$11,0)))</f>
        <v/>
      </c>
      <c r="M33" s="5">
        <f>IF(OR(I33="",L33=""),"",I33*L33)</f>
        <v/>
      </c>
      <c r="N33" s="13" t="n"/>
      <c r="O33" s="13" t="n"/>
      <c r="P33" s="7">
        <f>IF(AND(ISNUMBER(N33),ISNUMBER(O33)),ROUND((O33-N33)*1440,1),"")</f>
        <v/>
      </c>
      <c r="Q33" s="14" t="n"/>
      <c r="R33" s="14" t="n"/>
      <c r="S33" s="14" t="n"/>
      <c r="T33" s="5">
        <f>IF(S33="Y",SUMIFS($P$2:$P$62,$A$2:$A$62,A33&amp;"")/20,"")</f>
        <v/>
      </c>
      <c r="U33" s="5">
        <f>IF(OR(T33="",L33=""),"",T33/L33)</f>
        <v/>
      </c>
      <c r="V33" s="14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5" t="n"/>
      <c r="J34" s="15" t="n"/>
      <c r="K34" s="15" t="n"/>
      <c r="L34" s="4">
        <f>IF(J34="","",INDEX(Calibration!$D$5:$D$11,MATCH(J34&amp;" "&amp;K34,Calibration!$A$5:$A$11,0)))</f>
        <v/>
      </c>
      <c r="M34" s="5">
        <f>IF(OR(I34="",L34=""),"",I34*L34)</f>
        <v/>
      </c>
      <c r="N34" s="13" t="n"/>
      <c r="O34" s="13" t="n"/>
      <c r="P34" s="7">
        <f>IF(AND(ISNUMBER(N34),ISNUMBER(O34)),ROUND((O34-N34)*1440,1),"")</f>
        <v/>
      </c>
      <c r="Q34" s="14" t="n"/>
      <c r="R34" s="14" t="n"/>
      <c r="S34" s="14" t="n"/>
      <c r="T34" s="5">
        <f>IF(S34="Y",SUMIFS($P$2:$P$62,$A$2:$A$62,A34&amp;"")/20,"")</f>
        <v/>
      </c>
      <c r="U34" s="5">
        <f>IF(OR(T34="",L34=""),"",T34/L34)</f>
        <v/>
      </c>
      <c r="V34" s="14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5" t="n"/>
      <c r="J35" s="15" t="n"/>
      <c r="K35" s="15" t="n"/>
      <c r="L35" s="4">
        <f>IF(J35="","",INDEX(Calibration!$D$5:$D$11,MATCH(J35&amp;" "&amp;K35,Calibration!$A$5:$A$11,0)))</f>
        <v/>
      </c>
      <c r="M35" s="5">
        <f>IF(OR(I35="",L35=""),"",I35*L35)</f>
        <v/>
      </c>
      <c r="N35" s="13" t="n"/>
      <c r="O35" s="13" t="n"/>
      <c r="P35" s="7">
        <f>IF(AND(ISNUMBER(N35),ISNUMBER(O35)),ROUND((O35-N35)*1440,1),"")</f>
        <v/>
      </c>
      <c r="Q35" s="14" t="n"/>
      <c r="R35" s="14" t="n"/>
      <c r="S35" s="14" t="n"/>
      <c r="T35" s="5">
        <f>IF(S35="Y",SUMIFS($P$2:$P$62,$A$2:$A$62,A35&amp;"")/20,"")</f>
        <v/>
      </c>
      <c r="U35" s="5">
        <f>IF(OR(T35="",L35=""),"",T35/L35)</f>
        <v/>
      </c>
      <c r="V35" s="14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5" t="n"/>
      <c r="J36" s="15" t="n"/>
      <c r="K36" s="15" t="n"/>
      <c r="L36" s="4">
        <f>IF(J36="","",INDEX(Calibration!$D$5:$D$11,MATCH(J36&amp;" "&amp;K36,Calibration!$A$5:$A$11,0)))</f>
        <v/>
      </c>
      <c r="M36" s="5">
        <f>IF(OR(I36="",L36=""),"",I36*L36)</f>
        <v/>
      </c>
      <c r="N36" s="13" t="n"/>
      <c r="O36" s="13" t="n"/>
      <c r="P36" s="7">
        <f>IF(AND(ISNUMBER(N36),ISNUMBER(O36)),ROUND((O36-N36)*1440,1),"")</f>
        <v/>
      </c>
      <c r="Q36" s="14" t="n"/>
      <c r="R36" s="14" t="n"/>
      <c r="S36" s="14" t="n"/>
      <c r="T36" s="5">
        <f>IF(S36="Y",SUMIFS($P$2:$P$62,$A$2:$A$62,A36&amp;"")/20,"")</f>
        <v/>
      </c>
      <c r="U36" s="5">
        <f>IF(OR(T36="",L36=""),"",T36/L36)</f>
        <v/>
      </c>
      <c r="V36" s="14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5" t="n"/>
      <c r="J37" s="15" t="n"/>
      <c r="K37" s="15" t="n"/>
      <c r="L37" s="4">
        <f>IF(J37="","",INDEX(Calibration!$D$5:$D$11,MATCH(J37&amp;" "&amp;K37,Calibration!$A$5:$A$11,0)))</f>
        <v/>
      </c>
      <c r="M37" s="5">
        <f>IF(OR(I37="",L37=""),"",I37*L37)</f>
        <v/>
      </c>
      <c r="N37" s="13" t="n"/>
      <c r="O37" s="13" t="n"/>
      <c r="P37" s="7">
        <f>IF(AND(ISNUMBER(N37),ISNUMBER(O37)),ROUND((O37-N37)*1440,1),"")</f>
        <v/>
      </c>
      <c r="Q37" s="14" t="n"/>
      <c r="R37" s="14" t="n"/>
      <c r="S37" s="14" t="n"/>
      <c r="T37" s="5">
        <f>IF(S37="Y",SUMIFS($P$2:$P$62,$A$2:$A$62,A37&amp;"")/20,"")</f>
        <v/>
      </c>
      <c r="U37" s="5">
        <f>IF(OR(T37="",L37=""),"",T37/L37)</f>
        <v/>
      </c>
      <c r="V37" s="14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5" t="n"/>
      <c r="J38" s="15" t="n"/>
      <c r="K38" s="15" t="n"/>
      <c r="L38" s="4">
        <f>IF(J38="","",INDEX(Calibration!$D$5:$D$11,MATCH(J38&amp;" "&amp;K38,Calibration!$A$5:$A$11,0)))</f>
        <v/>
      </c>
      <c r="M38" s="5">
        <f>IF(OR(I38="",L38=""),"",I38*L38)</f>
        <v/>
      </c>
      <c r="N38" s="13" t="n"/>
      <c r="O38" s="13" t="n"/>
      <c r="P38" s="7">
        <f>IF(AND(ISNUMBER(N38),ISNUMBER(O38)),ROUND((O38-N38)*1440,1),"")</f>
        <v/>
      </c>
      <c r="Q38" s="14" t="n"/>
      <c r="R38" s="14" t="n"/>
      <c r="S38" s="14" t="n"/>
      <c r="T38" s="5">
        <f>IF(S38="Y",SUMIFS($P$2:$P$62,$A$2:$A$62,A38&amp;"")/20,"")</f>
        <v/>
      </c>
      <c r="U38" s="5">
        <f>IF(OR(T38="",L38=""),"",T38/L38)</f>
        <v/>
      </c>
      <c r="V38" s="14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5" t="n"/>
      <c r="J39" s="15" t="n"/>
      <c r="K39" s="15" t="n"/>
      <c r="L39" s="4">
        <f>IF(J39="","",INDEX(Calibration!$D$5:$D$11,MATCH(J39&amp;" "&amp;K39,Calibration!$A$5:$A$11,0)))</f>
        <v/>
      </c>
      <c r="M39" s="5">
        <f>IF(OR(I39="",L39=""),"",I39*L39)</f>
        <v/>
      </c>
      <c r="N39" s="13" t="n"/>
      <c r="O39" s="13" t="n"/>
      <c r="P39" s="7">
        <f>IF(AND(ISNUMBER(N39),ISNUMBER(O39)),ROUND((O39-N39)*1440,1),"")</f>
        <v/>
      </c>
      <c r="Q39" s="14" t="n"/>
      <c r="R39" s="14" t="n"/>
      <c r="S39" s="14" t="n"/>
      <c r="T39" s="5">
        <f>IF(S39="Y",SUMIFS($P$2:$P$62,$A$2:$A$62,A39&amp;"")/20,"")</f>
        <v/>
      </c>
      <c r="U39" s="5">
        <f>IF(OR(T39="",L39=""),"",T39/L39)</f>
        <v/>
      </c>
      <c r="V39" s="14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5" t="n"/>
      <c r="J40" s="15" t="n"/>
      <c r="K40" s="15" t="n"/>
      <c r="L40" s="4">
        <f>IF(J40="","",INDEX(Calibration!$D$5:$D$11,MATCH(J40&amp;" "&amp;K40,Calibration!$A$5:$A$11,0)))</f>
        <v/>
      </c>
      <c r="M40" s="5">
        <f>IF(OR(I40="",L40=""),"",I40*L40)</f>
        <v/>
      </c>
      <c r="N40" s="13" t="n"/>
      <c r="O40" s="13" t="n"/>
      <c r="P40" s="7">
        <f>IF(AND(ISNUMBER(N40),ISNUMBER(O40)),ROUND((O40-N40)*1440,1),"")</f>
        <v/>
      </c>
      <c r="Q40" s="14" t="n"/>
      <c r="R40" s="14" t="n"/>
      <c r="S40" s="14" t="n"/>
      <c r="T40" s="5">
        <f>IF(S40="Y",SUMIFS($P$2:$P$62,$A$2:$A$62,A40&amp;"")/20,"")</f>
        <v/>
      </c>
      <c r="U40" s="5">
        <f>IF(OR(T40="",L40=""),"",T40/L40)</f>
        <v/>
      </c>
      <c r="V40" s="14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5" t="n"/>
      <c r="J41" s="15" t="n"/>
      <c r="K41" s="15" t="n"/>
      <c r="L41" s="4">
        <f>IF(J41="","",INDEX(Calibration!$D$5:$D$11,MATCH(J41&amp;" "&amp;K41,Calibration!$A$5:$A$11,0)))</f>
        <v/>
      </c>
      <c r="M41" s="5">
        <f>IF(OR(I41="",L41=""),"",I41*L41)</f>
        <v/>
      </c>
      <c r="N41" s="13" t="n"/>
      <c r="O41" s="13" t="n"/>
      <c r="P41" s="7">
        <f>IF(AND(ISNUMBER(N41),ISNUMBER(O41)),ROUND((O41-N41)*1440,1),"")</f>
        <v/>
      </c>
      <c r="Q41" s="14" t="n"/>
      <c r="R41" s="14" t="n"/>
      <c r="S41" s="14" t="n"/>
      <c r="T41" s="5">
        <f>IF(S41="Y",SUMIFS($P$2:$P$62,$A$2:$A$62,A41&amp;"")/20,"")</f>
        <v/>
      </c>
      <c r="U41" s="5">
        <f>IF(OR(T41="",L41=""),"",T41/L41)</f>
        <v/>
      </c>
      <c r="V41" s="14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5" t="n"/>
      <c r="J42" s="15" t="n"/>
      <c r="K42" s="15" t="n"/>
      <c r="L42" s="4">
        <f>IF(J42="","",INDEX(Calibration!$D$5:$D$11,MATCH(J42&amp;" "&amp;K42,Calibration!$A$5:$A$11,0)))</f>
        <v/>
      </c>
      <c r="M42" s="5">
        <f>IF(OR(I42="",L42=""),"",I42*L42)</f>
        <v/>
      </c>
      <c r="N42" s="13" t="n"/>
      <c r="O42" s="13" t="n"/>
      <c r="P42" s="7">
        <f>IF(AND(ISNUMBER(N42),ISNUMBER(O42)),ROUND((O42-N42)*1440,1),"")</f>
        <v/>
      </c>
      <c r="Q42" s="14" t="n"/>
      <c r="R42" s="14" t="n"/>
      <c r="S42" s="14" t="n"/>
      <c r="T42" s="5">
        <f>IF(S42="Y",SUMIFS($P$2:$P$62,$A$2:$A$62,A42&amp;"")/20,"")</f>
        <v/>
      </c>
      <c r="U42" s="5">
        <f>IF(OR(T42="",L42=""),"",T42/L42)</f>
        <v/>
      </c>
      <c r="V42" s="14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5" t="n"/>
      <c r="J43" s="15" t="n"/>
      <c r="K43" s="15" t="n"/>
      <c r="L43" s="4">
        <f>IF(J43="","",INDEX(Calibration!$D$5:$D$11,MATCH(J43&amp;" "&amp;K43,Calibration!$A$5:$A$11,0)))</f>
        <v/>
      </c>
      <c r="M43" s="5">
        <f>IF(OR(I43="",L43=""),"",I43*L43)</f>
        <v/>
      </c>
      <c r="N43" s="13" t="n"/>
      <c r="O43" s="13" t="n"/>
      <c r="P43" s="7">
        <f>IF(AND(ISNUMBER(N43),ISNUMBER(O43)),ROUND((O43-N43)*1440,1),"")</f>
        <v/>
      </c>
      <c r="Q43" s="14" t="n"/>
      <c r="R43" s="14" t="n"/>
      <c r="S43" s="14" t="n"/>
      <c r="T43" s="5">
        <f>IF(S43="Y",SUMIFS($P$2:$P$62,$A$2:$A$62,A43&amp;"")/20,"")</f>
        <v/>
      </c>
      <c r="U43" s="5">
        <f>IF(OR(T43="",L43=""),"",T43/L43)</f>
        <v/>
      </c>
      <c r="V43" s="14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5" t="n"/>
      <c r="J44" s="15" t="n"/>
      <c r="K44" s="15" t="n"/>
      <c r="L44" s="4">
        <f>IF(J44="","",INDEX(Calibration!$D$5:$D$11,MATCH(J44&amp;" "&amp;K44,Calibration!$A$5:$A$11,0)))</f>
        <v/>
      </c>
      <c r="M44" s="5">
        <f>IF(OR(I44="",L44=""),"",I44*L44)</f>
        <v/>
      </c>
      <c r="N44" s="13" t="n"/>
      <c r="O44" s="13" t="n"/>
      <c r="P44" s="7">
        <f>IF(AND(ISNUMBER(N44),ISNUMBER(O44)),ROUND((O44-N44)*1440,1),"")</f>
        <v/>
      </c>
      <c r="Q44" s="14" t="n"/>
      <c r="R44" s="14" t="n"/>
      <c r="S44" s="14" t="n"/>
      <c r="T44" s="5">
        <f>IF(S44="Y",SUMIFS($P$2:$P$62,$A$2:$A$62,A44&amp;"")/20,"")</f>
        <v/>
      </c>
      <c r="U44" s="5">
        <f>IF(OR(T44="",L44=""),"",T44/L44)</f>
        <v/>
      </c>
      <c r="V44" s="14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5" t="n"/>
      <c r="J45" s="15" t="n"/>
      <c r="K45" s="15" t="n"/>
      <c r="L45" s="4">
        <f>IF(J45="","",INDEX(Calibration!$D$5:$D$11,MATCH(J45&amp;" "&amp;K45,Calibration!$A$5:$A$11,0)))</f>
        <v/>
      </c>
      <c r="M45" s="5">
        <f>IF(OR(I45="",L45=""),"",I45*L45)</f>
        <v/>
      </c>
      <c r="N45" s="13" t="n"/>
      <c r="O45" s="13" t="n"/>
      <c r="P45" s="7">
        <f>IF(AND(ISNUMBER(N45),ISNUMBER(O45)),ROUND((O45-N45)*1440,1),"")</f>
        <v/>
      </c>
      <c r="Q45" s="14" t="n"/>
      <c r="R45" s="14" t="n"/>
      <c r="S45" s="14" t="n"/>
      <c r="T45" s="5">
        <f>IF(S45="Y",SUMIFS($P$2:$P$62,$A$2:$A$62,A45&amp;"")/20,"")</f>
        <v/>
      </c>
      <c r="U45" s="5">
        <f>IF(OR(T45="",L45=""),"",T45/L45)</f>
        <v/>
      </c>
      <c r="V45" s="14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5" t="n"/>
      <c r="J46" s="15" t="n"/>
      <c r="K46" s="15" t="n"/>
      <c r="L46" s="4">
        <f>IF(J46="","",INDEX(Calibration!$D$5:$D$11,MATCH(J46&amp;" "&amp;K46,Calibration!$A$5:$A$11,0)))</f>
        <v/>
      </c>
      <c r="M46" s="5">
        <f>IF(OR(I46="",L46=""),"",I46*L46)</f>
        <v/>
      </c>
      <c r="N46" s="13" t="n"/>
      <c r="O46" s="13" t="n"/>
      <c r="P46" s="7">
        <f>IF(AND(ISNUMBER(N46),ISNUMBER(O46)),ROUND((O46-N46)*1440,1),"")</f>
        <v/>
      </c>
      <c r="Q46" s="14" t="n"/>
      <c r="R46" s="14" t="n"/>
      <c r="S46" s="14" t="n"/>
      <c r="T46" s="5">
        <f>IF(S46="Y",SUMIFS($P$2:$P$62,$A$2:$A$62,A46&amp;"")/20,"")</f>
        <v/>
      </c>
      <c r="U46" s="5">
        <f>IF(OR(T46="",L46=""),"",T46/L46)</f>
        <v/>
      </c>
      <c r="V46" s="14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5" t="n"/>
      <c r="J47" s="15" t="n"/>
      <c r="K47" s="15" t="n"/>
      <c r="L47" s="4">
        <f>IF(J47="","",INDEX(Calibration!$D$5:$D$11,MATCH(J47&amp;" "&amp;K47,Calibration!$A$5:$A$11,0)))</f>
        <v/>
      </c>
      <c r="M47" s="5">
        <f>IF(OR(I47="",L47=""),"",I47*L47)</f>
        <v/>
      </c>
      <c r="N47" s="13" t="n"/>
      <c r="O47" s="13" t="n"/>
      <c r="P47" s="7">
        <f>IF(AND(ISNUMBER(N47),ISNUMBER(O47)),ROUND((O47-N47)*1440,1),"")</f>
        <v/>
      </c>
      <c r="Q47" s="14" t="n"/>
      <c r="R47" s="14" t="n"/>
      <c r="S47" s="14" t="n"/>
      <c r="T47" s="5">
        <f>IF(S47="Y",SUMIFS($P$2:$P$62,$A$2:$A$62,A47&amp;"")/20,"")</f>
        <v/>
      </c>
      <c r="U47" s="5">
        <f>IF(OR(T47="",L47=""),"",T47/L47)</f>
        <v/>
      </c>
      <c r="V47" s="14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5" t="n"/>
      <c r="J48" s="15" t="n"/>
      <c r="K48" s="15" t="n"/>
      <c r="L48" s="4">
        <f>IF(J48="","",INDEX(Calibration!$D$5:$D$11,MATCH(J48&amp;" "&amp;K48,Calibration!$A$5:$A$11,0)))</f>
        <v/>
      </c>
      <c r="M48" s="5">
        <f>IF(OR(I48="",L48=""),"",I48*L48)</f>
        <v/>
      </c>
      <c r="N48" s="13" t="n"/>
      <c r="O48" s="13" t="n"/>
      <c r="P48" s="7">
        <f>IF(AND(ISNUMBER(N48),ISNUMBER(O48)),ROUND((O48-N48)*1440,1),"")</f>
        <v/>
      </c>
      <c r="Q48" s="14" t="n"/>
      <c r="R48" s="14" t="n"/>
      <c r="S48" s="14" t="n"/>
      <c r="T48" s="5">
        <f>IF(S48="Y",SUMIFS($P$2:$P$62,$A$2:$A$62,A48&amp;"")/20,"")</f>
        <v/>
      </c>
      <c r="U48" s="5">
        <f>IF(OR(T48="",L48=""),"",T48/L48)</f>
        <v/>
      </c>
      <c r="V48" s="14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5" t="n"/>
      <c r="J49" s="15" t="n"/>
      <c r="K49" s="15" t="n"/>
      <c r="L49" s="4">
        <f>IF(J49="","",INDEX(Calibration!$D$5:$D$11,MATCH(J49&amp;" "&amp;K49,Calibration!$A$5:$A$11,0)))</f>
        <v/>
      </c>
      <c r="M49" s="5">
        <f>IF(OR(I49="",L49=""),"",I49*L49)</f>
        <v/>
      </c>
      <c r="N49" s="13" t="n"/>
      <c r="O49" s="13" t="n"/>
      <c r="P49" s="7">
        <f>IF(AND(ISNUMBER(N49),ISNUMBER(O49)),ROUND((O49-N49)*1440,1),"")</f>
        <v/>
      </c>
      <c r="Q49" s="14" t="n"/>
      <c r="R49" s="14" t="n"/>
      <c r="S49" s="14" t="n"/>
      <c r="T49" s="5">
        <f>IF(S49="Y",SUMIFS($P$2:$P$62,$A$2:$A$62,A49&amp;"")/20,"")</f>
        <v/>
      </c>
      <c r="U49" s="5">
        <f>IF(OR(T49="",L49=""),"",T49/L49)</f>
        <v/>
      </c>
      <c r="V49" s="14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5" t="n"/>
      <c r="J50" s="15" t="n"/>
      <c r="K50" s="15" t="n"/>
      <c r="L50" s="4">
        <f>IF(J50="","",INDEX(Calibration!$D$5:$D$11,MATCH(J50&amp;" "&amp;K50,Calibration!$A$5:$A$11,0)))</f>
        <v/>
      </c>
      <c r="M50" s="5">
        <f>IF(OR(I50="",L50=""),"",I50*L50)</f>
        <v/>
      </c>
      <c r="N50" s="13" t="n"/>
      <c r="O50" s="13" t="n"/>
      <c r="P50" s="7">
        <f>IF(AND(ISNUMBER(N50),ISNUMBER(O50)),ROUND((O50-N50)*1440,1),"")</f>
        <v/>
      </c>
      <c r="Q50" s="14" t="n"/>
      <c r="R50" s="14" t="n"/>
      <c r="S50" s="14" t="n"/>
      <c r="T50" s="5">
        <f>IF(S50="Y",SUMIFS($P$2:$P$62,$A$2:$A$62,A50&amp;"")/20,"")</f>
        <v/>
      </c>
      <c r="U50" s="5">
        <f>IF(OR(T50="",L50=""),"",T50/L50)</f>
        <v/>
      </c>
      <c r="V50" s="14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5" t="n"/>
      <c r="J51" s="15" t="n"/>
      <c r="K51" s="15" t="n"/>
      <c r="L51" s="4">
        <f>IF(J51="","",INDEX(Calibration!$D$5:$D$11,MATCH(J51&amp;" "&amp;K51,Calibration!$A$5:$A$11,0)))</f>
        <v/>
      </c>
      <c r="M51" s="5">
        <f>IF(OR(I51="",L51=""),"",I51*L51)</f>
        <v/>
      </c>
      <c r="N51" s="13" t="n"/>
      <c r="O51" s="13" t="n"/>
      <c r="P51" s="7">
        <f>IF(AND(ISNUMBER(N51),ISNUMBER(O51)),ROUND((O51-N51)*1440,1),"")</f>
        <v/>
      </c>
      <c r="Q51" s="14" t="n"/>
      <c r="R51" s="14" t="n"/>
      <c r="S51" s="14" t="n"/>
      <c r="T51" s="5">
        <f>IF(S51="Y",SUMIFS($P$2:$P$62,$A$2:$A$62,A51&amp;"")/20,"")</f>
        <v/>
      </c>
      <c r="U51" s="5">
        <f>IF(OR(T51="",L51=""),"",T51/L51)</f>
        <v/>
      </c>
      <c r="V51" s="14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5" t="n"/>
      <c r="J52" s="15" t="n"/>
      <c r="K52" s="15" t="n"/>
      <c r="L52" s="4">
        <f>IF(J52="","",INDEX(Calibration!$D$5:$D$11,MATCH(J52&amp;" "&amp;K52,Calibration!$A$5:$A$11,0)))</f>
        <v/>
      </c>
      <c r="M52" s="5">
        <f>IF(OR(I52="",L52=""),"",I52*L52)</f>
        <v/>
      </c>
      <c r="N52" s="13" t="n"/>
      <c r="O52" s="13" t="n"/>
      <c r="P52" s="7">
        <f>IF(AND(ISNUMBER(N52),ISNUMBER(O52)),ROUND((O52-N52)*1440,1),"")</f>
        <v/>
      </c>
      <c r="Q52" s="14" t="n"/>
      <c r="R52" s="14" t="n"/>
      <c r="S52" s="14" t="n"/>
      <c r="T52" s="5">
        <f>IF(S52="Y",SUMIFS($P$2:$P$62,$A$2:$A$62,A52&amp;"")/20,"")</f>
        <v/>
      </c>
      <c r="U52" s="5">
        <f>IF(OR(T52="",L52=""),"",T52/L52)</f>
        <v/>
      </c>
      <c r="V52" s="14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5" t="n"/>
      <c r="J53" s="15" t="n"/>
      <c r="K53" s="15" t="n"/>
      <c r="L53" s="4">
        <f>IF(J53="","",INDEX(Calibration!$D$5:$D$11,MATCH(J53&amp;" "&amp;K53,Calibration!$A$5:$A$11,0)))</f>
        <v/>
      </c>
      <c r="M53" s="5">
        <f>IF(OR(I53="",L53=""),"",I53*L53)</f>
        <v/>
      </c>
      <c r="N53" s="13" t="n"/>
      <c r="O53" s="13" t="n"/>
      <c r="P53" s="7">
        <f>IF(AND(ISNUMBER(N53),ISNUMBER(O53)),ROUND((O53-N53)*1440,1),"")</f>
        <v/>
      </c>
      <c r="Q53" s="14" t="n"/>
      <c r="R53" s="14" t="n"/>
      <c r="S53" s="14" t="n"/>
      <c r="T53" s="5">
        <f>IF(S53="Y",SUMIFS($P$2:$P$62,$A$2:$A$62,A53&amp;"")/20,"")</f>
        <v/>
      </c>
      <c r="U53" s="5">
        <f>IF(OR(T53="",L53=""),"",T53/L53)</f>
        <v/>
      </c>
      <c r="V53" s="14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5" t="n"/>
      <c r="J54" s="15" t="n"/>
      <c r="K54" s="15" t="n"/>
      <c r="L54" s="4">
        <f>IF(J54="","",INDEX(Calibration!$D$5:$D$11,MATCH(J54&amp;" "&amp;K54,Calibration!$A$5:$A$11,0)))</f>
        <v/>
      </c>
      <c r="M54" s="5">
        <f>IF(OR(I54="",L54=""),"",I54*L54)</f>
        <v/>
      </c>
      <c r="N54" s="13" t="n"/>
      <c r="O54" s="13" t="n"/>
      <c r="P54" s="7">
        <f>IF(AND(ISNUMBER(N54),ISNUMBER(O54)),ROUND((O54-N54)*1440,1),"")</f>
        <v/>
      </c>
      <c r="Q54" s="14" t="n"/>
      <c r="R54" s="14" t="n"/>
      <c r="S54" s="14" t="n"/>
      <c r="T54" s="5">
        <f>IF(S54="Y",SUMIFS($P$2:$P$62,$A$2:$A$62,A54&amp;"")/20,"")</f>
        <v/>
      </c>
      <c r="U54" s="5">
        <f>IF(OR(T54="",L54=""),"",T54/L54)</f>
        <v/>
      </c>
      <c r="V54" s="14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  <c r="I55" s="5" t="n"/>
      <c r="J55" s="15" t="n"/>
      <c r="K55" s="15" t="n"/>
      <c r="L55" s="4">
        <f>IF(J55="","",INDEX(Calibration!$D$5:$D$11,MATCH(J55&amp;" "&amp;K55,Calibration!$A$5:$A$11,0)))</f>
        <v/>
      </c>
      <c r="M55" s="5">
        <f>IF(OR(I55="",L55=""),"",I55*L55)</f>
        <v/>
      </c>
      <c r="N55" s="13" t="n"/>
      <c r="O55" s="13" t="n"/>
      <c r="P55" s="7">
        <f>IF(AND(ISNUMBER(N55),ISNUMBER(O55)),ROUND((O55-N55)*1440,1),"")</f>
        <v/>
      </c>
      <c r="Q55" s="14" t="n"/>
      <c r="R55" s="14" t="n"/>
      <c r="S55" s="14" t="n"/>
      <c r="T55" s="5">
        <f>IF(S55="Y",SUMIFS($P$2:$P$62,$A$2:$A$62,A55&amp;"")/20,"")</f>
        <v/>
      </c>
      <c r="U55" s="5">
        <f>IF(OR(T55="",L55=""),"",T55/L55)</f>
        <v/>
      </c>
      <c r="V55" s="14" t="n"/>
    </row>
    <row r="56">
      <c r="A56" s="15" t="n"/>
      <c r="B56" s="15" t="n"/>
      <c r="C56" s="15" t="n"/>
      <c r="D56" s="15" t="n"/>
      <c r="E56" s="15" t="n"/>
      <c r="F56" s="15" t="n"/>
      <c r="G56" s="15" t="n"/>
      <c r="H56" s="15" t="n"/>
      <c r="I56" s="5" t="n"/>
      <c r="J56" s="15" t="n"/>
      <c r="K56" s="15" t="n"/>
      <c r="L56" s="4">
        <f>IF(J56="","",INDEX(Calibration!$D$5:$D$11,MATCH(J56&amp;" "&amp;K56,Calibration!$A$5:$A$11,0)))</f>
        <v/>
      </c>
      <c r="M56" s="5">
        <f>IF(OR(I56="",L56=""),"",I56*L56)</f>
        <v/>
      </c>
      <c r="N56" s="13" t="n"/>
      <c r="O56" s="13" t="n"/>
      <c r="P56" s="7">
        <f>IF(AND(ISNUMBER(N56),ISNUMBER(O56)),ROUND((O56-N56)*1440,1),"")</f>
        <v/>
      </c>
      <c r="Q56" s="14" t="n"/>
      <c r="R56" s="14" t="n"/>
      <c r="S56" s="14" t="n"/>
      <c r="T56" s="5">
        <f>IF(S56="Y",SUMIFS($P$2:$P$62,$A$2:$A$62,A56&amp;"")/20,"")</f>
        <v/>
      </c>
      <c r="U56" s="5">
        <f>IF(OR(T56="",L56=""),"",T56/L56)</f>
        <v/>
      </c>
      <c r="V56" s="14" t="n"/>
    </row>
    <row r="57">
      <c r="A57" s="15" t="n"/>
      <c r="B57" s="15" t="n"/>
      <c r="C57" s="15" t="n"/>
      <c r="D57" s="15" t="n"/>
      <c r="E57" s="15" t="n"/>
      <c r="F57" s="15" t="n"/>
      <c r="G57" s="15" t="n"/>
      <c r="H57" s="15" t="n"/>
      <c r="I57" s="5" t="n"/>
      <c r="J57" s="15" t="n"/>
      <c r="K57" s="15" t="n"/>
      <c r="L57" s="4">
        <f>IF(J57="","",INDEX(Calibration!$D$5:$D$11,MATCH(J57&amp;" "&amp;K57,Calibration!$A$5:$A$11,0)))</f>
        <v/>
      </c>
      <c r="M57" s="5">
        <f>IF(OR(I57="",L57=""),"",I57*L57)</f>
        <v/>
      </c>
      <c r="N57" s="13" t="n"/>
      <c r="O57" s="13" t="n"/>
      <c r="P57" s="7">
        <f>IF(AND(ISNUMBER(N57),ISNUMBER(O57)),ROUND((O57-N57)*1440,1),"")</f>
        <v/>
      </c>
      <c r="Q57" s="14" t="n"/>
      <c r="R57" s="14" t="n"/>
      <c r="S57" s="14" t="n"/>
      <c r="T57" s="5">
        <f>IF(S57="Y",SUMIFS($P$2:$P$62,$A$2:$A$62,A57&amp;"")/20,"")</f>
        <v/>
      </c>
      <c r="U57" s="5">
        <f>IF(OR(T57="",L57=""),"",T57/L57)</f>
        <v/>
      </c>
      <c r="V57" s="14" t="n"/>
    </row>
    <row r="58">
      <c r="A58" s="15" t="n"/>
      <c r="B58" s="15" t="n"/>
      <c r="C58" s="15" t="n"/>
      <c r="D58" s="15" t="n"/>
      <c r="E58" s="15" t="n"/>
      <c r="F58" s="15" t="n"/>
      <c r="G58" s="15" t="n"/>
      <c r="H58" s="15" t="n"/>
      <c r="I58" s="5" t="n"/>
      <c r="J58" s="15" t="n"/>
      <c r="K58" s="15" t="n"/>
      <c r="L58" s="4">
        <f>IF(J58="","",INDEX(Calibration!$D$5:$D$11,MATCH(J58&amp;" "&amp;K58,Calibration!$A$5:$A$11,0)))</f>
        <v/>
      </c>
      <c r="M58" s="5">
        <f>IF(OR(I58="",L58=""),"",I58*L58)</f>
        <v/>
      </c>
      <c r="N58" s="13" t="n"/>
      <c r="O58" s="13" t="n"/>
      <c r="P58" s="7">
        <f>IF(AND(ISNUMBER(N58),ISNUMBER(O58)),ROUND((O58-N58)*1440,1),"")</f>
        <v/>
      </c>
      <c r="Q58" s="14" t="n"/>
      <c r="R58" s="14" t="n"/>
      <c r="S58" s="14" t="n"/>
      <c r="T58" s="5">
        <f>IF(S58="Y",SUMIFS($P$2:$P$62,$A$2:$A$62,A58&amp;"")/20,"")</f>
        <v/>
      </c>
      <c r="U58" s="5">
        <f>IF(OR(T58="",L58=""),"",T58/L58)</f>
        <v/>
      </c>
      <c r="V58" s="14" t="n"/>
    </row>
    <row r="59">
      <c r="A59" s="15" t="n"/>
      <c r="B59" s="15" t="n"/>
      <c r="C59" s="15" t="n"/>
      <c r="D59" s="15" t="n"/>
      <c r="E59" s="15" t="n"/>
      <c r="F59" s="15" t="n"/>
      <c r="G59" s="15" t="n"/>
      <c r="H59" s="15" t="n"/>
      <c r="I59" s="5" t="n"/>
      <c r="J59" s="15" t="n"/>
      <c r="K59" s="15" t="n"/>
      <c r="L59" s="4">
        <f>IF(J59="","",INDEX(Calibration!$D$5:$D$11,MATCH(J59&amp;" "&amp;K59,Calibration!$A$5:$A$11,0)))</f>
        <v/>
      </c>
      <c r="M59" s="5">
        <f>IF(OR(I59="",L59=""),"",I59*L59)</f>
        <v/>
      </c>
      <c r="N59" s="13" t="n"/>
      <c r="O59" s="13" t="n"/>
      <c r="P59" s="7">
        <f>IF(AND(ISNUMBER(N59),ISNUMBER(O59)),ROUND((O59-N59)*1440,1),"")</f>
        <v/>
      </c>
      <c r="Q59" s="14" t="n"/>
      <c r="R59" s="14" t="n"/>
      <c r="S59" s="14" t="n"/>
      <c r="T59" s="5">
        <f>IF(S59="Y",SUMIFS($P$2:$P$62,$A$2:$A$62,A59&amp;"")/20,"")</f>
        <v/>
      </c>
      <c r="U59" s="5">
        <f>IF(OR(T59="",L59=""),"",T59/L59)</f>
        <v/>
      </c>
      <c r="V59" s="14" t="n"/>
    </row>
    <row r="60">
      <c r="A60" s="15" t="n"/>
      <c r="B60" s="15" t="n"/>
      <c r="C60" s="15" t="n"/>
      <c r="D60" s="15" t="n"/>
      <c r="E60" s="15" t="n"/>
      <c r="F60" s="15" t="n"/>
      <c r="G60" s="15" t="n"/>
      <c r="H60" s="15" t="n"/>
      <c r="I60" s="5" t="n"/>
      <c r="J60" s="15" t="n"/>
      <c r="K60" s="15" t="n"/>
      <c r="L60" s="4">
        <f>IF(J60="","",INDEX(Calibration!$D$5:$D$11,MATCH(J60&amp;" "&amp;K60,Calibration!$A$5:$A$11,0)))</f>
        <v/>
      </c>
      <c r="M60" s="5">
        <f>IF(OR(I60="",L60=""),"",I60*L60)</f>
        <v/>
      </c>
      <c r="N60" s="13" t="n"/>
      <c r="O60" s="13" t="n"/>
      <c r="P60" s="7">
        <f>IF(AND(ISNUMBER(N60),ISNUMBER(O60)),ROUND((O60-N60)*1440,1),"")</f>
        <v/>
      </c>
      <c r="Q60" s="14" t="n"/>
      <c r="R60" s="14" t="n"/>
      <c r="S60" s="14" t="n"/>
      <c r="T60" s="5">
        <f>IF(S60="Y",SUMIFS($P$2:$P$62,$A$2:$A$62,A60&amp;"")/20,"")</f>
        <v/>
      </c>
      <c r="U60" s="5">
        <f>IF(OR(T60="",L60=""),"",T60/L60)</f>
        <v/>
      </c>
      <c r="V60" s="14" t="n"/>
    </row>
    <row r="61">
      <c r="A61" s="15" t="n"/>
      <c r="B61" s="15" t="n"/>
      <c r="C61" s="15" t="n"/>
      <c r="D61" s="15" t="n"/>
      <c r="E61" s="15" t="n"/>
      <c r="F61" s="15" t="n"/>
      <c r="G61" s="15" t="n"/>
      <c r="H61" s="15" t="n"/>
      <c r="I61" s="5" t="n"/>
      <c r="J61" s="15" t="n"/>
      <c r="K61" s="15" t="n"/>
      <c r="L61" s="4">
        <f>IF(J61="","",INDEX(Calibration!$D$5:$D$11,MATCH(J61&amp;" "&amp;K61,Calibration!$A$5:$A$11,0)))</f>
        <v/>
      </c>
      <c r="M61" s="5">
        <f>IF(OR(I61="",L61=""),"",I61*L61)</f>
        <v/>
      </c>
      <c r="N61" s="13" t="n"/>
      <c r="O61" s="13" t="n"/>
      <c r="P61" s="7">
        <f>IF(AND(ISNUMBER(N61),ISNUMBER(O61)),ROUND((O61-N61)*1440,1),"")</f>
        <v/>
      </c>
      <c r="Q61" s="14" t="n"/>
      <c r="R61" s="14" t="n"/>
      <c r="S61" s="14" t="n"/>
      <c r="T61" s="5">
        <f>IF(S61="Y",SUMIFS($P$2:$P$62,$A$2:$A$62,A61&amp;"")/20,"")</f>
        <v/>
      </c>
      <c r="U61" s="5">
        <f>IF(OR(T61="",L61=""),"",T61/L61)</f>
        <v/>
      </c>
      <c r="V61" s="14" t="n"/>
    </row>
    <row r="62">
      <c r="A62" s="15" t="n"/>
      <c r="B62" s="15" t="n"/>
      <c r="C62" s="15" t="n"/>
      <c r="D62" s="15" t="n"/>
      <c r="E62" s="15" t="n"/>
      <c r="F62" s="15" t="n"/>
      <c r="G62" s="15" t="n"/>
      <c r="H62" s="15" t="n"/>
      <c r="I62" s="5" t="n"/>
      <c r="J62" s="15" t="n"/>
      <c r="K62" s="15" t="n"/>
      <c r="L62" s="4">
        <f>IF(J62="","",INDEX(Calibration!$D$5:$D$11,MATCH(J62&amp;" "&amp;K62,Calibration!$A$5:$A$11,0)))</f>
        <v/>
      </c>
      <c r="M62" s="5">
        <f>IF(OR(I62="",L62=""),"",I62*L62)</f>
        <v/>
      </c>
      <c r="N62" s="13" t="n"/>
      <c r="O62" s="13" t="n"/>
      <c r="P62" s="7">
        <f>IF(AND(ISNUMBER(N62),ISNUMBER(O62)),ROUND((O62-N62)*1440,1),"")</f>
        <v/>
      </c>
      <c r="Q62" s="14" t="n"/>
      <c r="R62" s="14" t="n"/>
      <c r="S62" s="14" t="n"/>
      <c r="T62" s="5">
        <f>IF(S62="Y",SUMIFS($P$2:$P$62,$A$2:$A$62,A62&amp;"")/20,"")</f>
        <v/>
      </c>
      <c r="U62" s="5">
        <f>IF(OR(T62="",L62=""),"",T62/L62)</f>
        <v/>
      </c>
      <c r="V62" s="14" t="n"/>
    </row>
  </sheetData>
  <autoFilter ref="A1:V62"/>
  <dataValidations count="1">
    <dataValidation sqref="S2:S62" showDropDown="0" showInputMessage="0" showErrorMessage="0" allowBlank="1" type="list">
      <formula1>"Y,N"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8" customWidth="1" min="3" max="3"/>
    <col width="10" customWidth="1" min="4" max="4"/>
    <col width="34" customWidth="1" min="5" max="5"/>
    <col width="9" customWidth="1" min="6" max="6"/>
    <col width="9" customWidth="1" min="7" max="7"/>
    <col width="10" customWidth="1" min="8" max="8"/>
    <col width="9" customWidth="1" min="9" max="9"/>
    <col width="9" customWidth="1" min="10" max="10"/>
    <col width="10" customWidth="1" min="11" max="11"/>
    <col width="10" customWidth="1" min="12" max="12"/>
    <col width="11" customWidth="1" min="13" max="13"/>
    <col width="16" customWidth="1" min="14" max="14"/>
  </cols>
  <sheetData>
    <row r="1" ht="32" customHeight="1">
      <c r="A1" s="1" t="inlineStr">
        <is>
          <t>Agent</t>
        </is>
      </c>
      <c r="B1" s="1" t="inlineStr">
        <is>
          <t>Model</t>
        </is>
      </c>
      <c r="C1" s="1" t="inlineStr">
        <is>
          <t>Effort</t>
        </is>
      </c>
      <c r="D1" s="1" t="inlineStr">
        <is>
          <t>Multiplier</t>
        </is>
      </c>
      <c r="E1" s="1" t="inlineStr">
        <is>
          <t>Lane</t>
        </is>
      </c>
      <c r="F1" s="1" t="inlineStr">
        <is>
          <t>Tasks assigned</t>
        </is>
      </c>
      <c r="G1" s="1" t="inlineStr">
        <is>
          <t>Tasks accepted</t>
        </is>
      </c>
      <c r="H1" s="1" t="inlineStr">
        <is>
          <t>Rejected attempts</t>
        </is>
      </c>
      <c r="I1" s="1" t="inlineStr">
        <is>
          <t>Baseline SP</t>
        </is>
      </c>
      <c r="J1" s="1" t="inlineStr">
        <is>
          <t>Adjusted SP</t>
        </is>
      </c>
      <c r="K1" s="1" t="inlineStr">
        <is>
          <t>Runtime (min)</t>
        </is>
      </c>
      <c r="L1" s="1" t="inlineStr">
        <is>
          <t>Raw actual SP</t>
        </is>
      </c>
      <c r="M1" s="1" t="inlineStr">
        <is>
          <t>Normalised actual SP</t>
        </is>
      </c>
      <c r="N1" s="1" t="inlineStr">
        <is>
          <t>Actual ÷ estimate (raw ÷ adjusted, accepted)</t>
        </is>
      </c>
    </row>
    <row r="2">
      <c r="A2" s="2" t="inlineStr">
        <is>
          <t>Quinn</t>
        </is>
      </c>
      <c r="B2" s="2" t="inlineStr">
        <is>
          <t>Opus 5.5</t>
        </is>
      </c>
      <c r="C2" s="2" t="inlineStr">
        <is>
          <t>high</t>
        </is>
      </c>
      <c r="D2" s="4">
        <f>INDEX(Calibration!$D$5:$D$11,MATCH(B2&amp;" "&amp;C2,Calibration!$A$5:$A$11,0))</f>
        <v/>
      </c>
      <c r="E2" s="2" t="inlineStr">
        <is>
          <t>Policy and sidecar</t>
        </is>
      </c>
      <c r="F2" s="15">
        <f>COUNTIFS(Tasks!$D$2:$D$62,$A2,Tasks!$I$2:$I$62,"&gt;0")</f>
        <v/>
      </c>
      <c r="G2" s="15">
        <f>COUNTIFS(Tasks!$D$2:$D$62,$A2,Tasks!$S$2:$S$62,"Y")</f>
        <v/>
      </c>
      <c r="H2" s="15">
        <f>COUNTIFS(Tasks!$D$2:$D$62,$A2,Tasks!$S$2:$S$62,"N")-COUNTIFS(Tasks!$D$2:$D$62,$A2,Tasks!$S$2:$S$62,"N",Tasks!$I$2:$I$62,"&gt;0")</f>
        <v/>
      </c>
      <c r="I2" s="5">
        <f>SUMIFS(Tasks!$I$2:$I$62,Tasks!$D$2:$D$62,$A2)</f>
        <v/>
      </c>
      <c r="J2" s="5">
        <f>SUMIFS(Tasks!$M$2:$M$62,Tasks!$D$2:$D$62,$A2)</f>
        <v/>
      </c>
      <c r="K2" s="7">
        <f>SUMIFS(Tasks!$P$2:$P$62,Tasks!$D$2:$D$62,$A2)</f>
        <v/>
      </c>
      <c r="L2" s="5">
        <f>SUMIFS(Tasks!$T$2:$T$62,Tasks!$D$2:$D$62,$A2)</f>
        <v/>
      </c>
      <c r="M2" s="5">
        <f>SUMIFS(Tasks!$U$2:$U$62,Tasks!$D$2:$D$62,$A2)</f>
        <v/>
      </c>
      <c r="N2" s="4">
        <f>IF(SUMIFS(Tasks!$M$2:$M$62,Tasks!$D$2:$D$62,$A2,Tasks!$S$2:$S$62,"Y")=0,"",L2/SUMIFS(Tasks!$M$2:$M$62,Tasks!$D$2:$D$62,$A2,Tasks!$S$2:$S$62,"Y"))</f>
        <v/>
      </c>
    </row>
    <row r="3">
      <c r="A3" s="2" t="inlineStr">
        <is>
          <t>Rowan</t>
        </is>
      </c>
      <c r="B3" s="2" t="inlineStr">
        <is>
          <t>Opus 5.5</t>
        </is>
      </c>
      <c r="C3" s="2" t="inlineStr">
        <is>
          <t>medium</t>
        </is>
      </c>
      <c r="D3" s="4">
        <f>INDEX(Calibration!$D$5:$D$11,MATCH(B3&amp;" "&amp;C3,Calibration!$A$5:$A$11,0))</f>
        <v/>
      </c>
      <c r="E3" s="2" t="inlineStr">
        <is>
          <t>Platform: scaffold, CI, reset, agent, e2e</t>
        </is>
      </c>
      <c r="F3" s="15">
        <f>COUNTIFS(Tasks!$D$2:$D$62,$A3,Tasks!$I$2:$I$62,"&gt;0")</f>
        <v/>
      </c>
      <c r="G3" s="15">
        <f>COUNTIFS(Tasks!$D$2:$D$62,$A3,Tasks!$S$2:$S$62,"Y")</f>
        <v/>
      </c>
      <c r="H3" s="15">
        <f>COUNTIFS(Tasks!$D$2:$D$62,$A3,Tasks!$S$2:$S$62,"N")-COUNTIFS(Tasks!$D$2:$D$62,$A3,Tasks!$S$2:$S$62,"N",Tasks!$I$2:$I$62,"&gt;0")</f>
        <v/>
      </c>
      <c r="I3" s="5">
        <f>SUMIFS(Tasks!$I$2:$I$62,Tasks!$D$2:$D$62,$A3)</f>
        <v/>
      </c>
      <c r="J3" s="5">
        <f>SUMIFS(Tasks!$M$2:$M$62,Tasks!$D$2:$D$62,$A3)</f>
        <v/>
      </c>
      <c r="K3" s="7">
        <f>SUMIFS(Tasks!$P$2:$P$62,Tasks!$D$2:$D$62,$A3)</f>
        <v/>
      </c>
      <c r="L3" s="5">
        <f>SUMIFS(Tasks!$T$2:$T$62,Tasks!$D$2:$D$62,$A3)</f>
        <v/>
      </c>
      <c r="M3" s="5">
        <f>SUMIFS(Tasks!$U$2:$U$62,Tasks!$D$2:$D$62,$A3)</f>
        <v/>
      </c>
      <c r="N3" s="4">
        <f>IF(SUMIFS(Tasks!$M$2:$M$62,Tasks!$D$2:$D$62,$A3,Tasks!$S$2:$S$62,"Y")=0,"",L3/SUMIFS(Tasks!$M$2:$M$62,Tasks!$D$2:$D$62,$A3,Tasks!$S$2:$S$62,"Y"))</f>
        <v/>
      </c>
    </row>
    <row r="4">
      <c r="A4" s="2" t="inlineStr">
        <is>
          <t>Sasha</t>
        </is>
      </c>
      <c r="B4" s="2" t="inlineStr">
        <is>
          <t>Opus 5.5</t>
        </is>
      </c>
      <c r="C4" s="2" t="inlineStr">
        <is>
          <t>medium</t>
        </is>
      </c>
      <c r="D4" s="4">
        <f>INDEX(Calibration!$D$5:$D$11,MATCH(B4&amp;" "&amp;C4,Calibration!$A$5:$A$11,0))</f>
        <v/>
      </c>
      <c r="E4" s="2" t="inlineStr">
        <is>
          <t>Drive</t>
        </is>
      </c>
      <c r="F4" s="15">
        <f>COUNTIFS(Tasks!$D$2:$D$62,$A4,Tasks!$I$2:$I$62,"&gt;0")</f>
        <v/>
      </c>
      <c r="G4" s="15">
        <f>COUNTIFS(Tasks!$D$2:$D$62,$A4,Tasks!$S$2:$S$62,"Y")</f>
        <v/>
      </c>
      <c r="H4" s="15">
        <f>COUNTIFS(Tasks!$D$2:$D$62,$A4,Tasks!$S$2:$S$62,"N")-COUNTIFS(Tasks!$D$2:$D$62,$A4,Tasks!$S$2:$S$62,"N",Tasks!$I$2:$I$62,"&gt;0")</f>
        <v/>
      </c>
      <c r="I4" s="5">
        <f>SUMIFS(Tasks!$I$2:$I$62,Tasks!$D$2:$D$62,$A4)</f>
        <v/>
      </c>
      <c r="J4" s="5">
        <f>SUMIFS(Tasks!$M$2:$M$62,Tasks!$D$2:$D$62,$A4)</f>
        <v/>
      </c>
      <c r="K4" s="7">
        <f>SUMIFS(Tasks!$P$2:$P$62,Tasks!$D$2:$D$62,$A4)</f>
        <v/>
      </c>
      <c r="L4" s="5">
        <f>SUMIFS(Tasks!$T$2:$T$62,Tasks!$D$2:$D$62,$A4)</f>
        <v/>
      </c>
      <c r="M4" s="5">
        <f>SUMIFS(Tasks!$U$2:$U$62,Tasks!$D$2:$D$62,$A4)</f>
        <v/>
      </c>
      <c r="N4" s="4">
        <f>IF(SUMIFS(Tasks!$M$2:$M$62,Tasks!$D$2:$D$62,$A4,Tasks!$S$2:$S$62,"Y")=0,"",L4/SUMIFS(Tasks!$M$2:$M$62,Tasks!$D$2:$D$62,$A4,Tasks!$S$2:$S$62,"Y"))</f>
        <v/>
      </c>
    </row>
    <row r="5">
      <c r="A5" s="2" t="inlineStr">
        <is>
          <t>Ellis</t>
        </is>
      </c>
      <c r="B5" s="2" t="inlineStr">
        <is>
          <t>Opus 5.5</t>
        </is>
      </c>
      <c r="C5" s="2" t="inlineStr">
        <is>
          <t>medium</t>
        </is>
      </c>
      <c r="D5" s="4">
        <f>INDEX(Calibration!$D$5:$D$11,MATCH(B5&amp;" "&amp;C5,Calibration!$A$5:$A$11,0))</f>
        <v/>
      </c>
      <c r="E5" s="2" t="inlineStr">
        <is>
          <t>Classifier</t>
        </is>
      </c>
      <c r="F5" s="15">
        <f>COUNTIFS(Tasks!$D$2:$D$62,$A5,Tasks!$I$2:$I$62,"&gt;0")</f>
        <v/>
      </c>
      <c r="G5" s="15">
        <f>COUNTIFS(Tasks!$D$2:$D$62,$A5,Tasks!$S$2:$S$62,"Y")</f>
        <v/>
      </c>
      <c r="H5" s="15">
        <f>COUNTIFS(Tasks!$D$2:$D$62,$A5,Tasks!$S$2:$S$62,"N")-COUNTIFS(Tasks!$D$2:$D$62,$A5,Tasks!$S$2:$S$62,"N",Tasks!$I$2:$I$62,"&gt;0")</f>
        <v/>
      </c>
      <c r="I5" s="5">
        <f>SUMIFS(Tasks!$I$2:$I$62,Tasks!$D$2:$D$62,$A5)</f>
        <v/>
      </c>
      <c r="J5" s="5">
        <f>SUMIFS(Tasks!$M$2:$M$62,Tasks!$D$2:$D$62,$A5)</f>
        <v/>
      </c>
      <c r="K5" s="7">
        <f>SUMIFS(Tasks!$P$2:$P$62,Tasks!$D$2:$D$62,$A5)</f>
        <v/>
      </c>
      <c r="L5" s="5">
        <f>SUMIFS(Tasks!$T$2:$T$62,Tasks!$D$2:$D$62,$A5)</f>
        <v/>
      </c>
      <c r="M5" s="5">
        <f>SUMIFS(Tasks!$U$2:$U$62,Tasks!$D$2:$D$62,$A5)</f>
        <v/>
      </c>
      <c r="N5" s="4">
        <f>IF(SUMIFS(Tasks!$M$2:$M$62,Tasks!$D$2:$D$62,$A5,Tasks!$S$2:$S$62,"Y")=0,"",L5/SUMIFS(Tasks!$M$2:$M$62,Tasks!$D$2:$D$62,$A5,Tasks!$S$2:$S$62,"Y"))</f>
        <v/>
      </c>
    </row>
    <row r="6">
      <c r="A6" s="2" t="inlineStr">
        <is>
          <t>Jules</t>
        </is>
      </c>
      <c r="B6" s="2" t="inlineStr">
        <is>
          <t>Opus 5.5</t>
        </is>
      </c>
      <c r="C6" s="2" t="inlineStr">
        <is>
          <t>medium</t>
        </is>
      </c>
      <c r="D6" s="4">
        <f>INDEX(Calibration!$D$5:$D$11,MATCH(B6&amp;" "&amp;C6,Calibration!$A$5:$A$11,0))</f>
        <v/>
      </c>
      <c r="E6" s="2" t="inlineStr">
        <is>
          <t>Poller</t>
        </is>
      </c>
      <c r="F6" s="15">
        <f>COUNTIFS(Tasks!$D$2:$D$62,$A6,Tasks!$I$2:$I$62,"&gt;0")</f>
        <v/>
      </c>
      <c r="G6" s="15">
        <f>COUNTIFS(Tasks!$D$2:$D$62,$A6,Tasks!$S$2:$S$62,"Y")</f>
        <v/>
      </c>
      <c r="H6" s="15">
        <f>COUNTIFS(Tasks!$D$2:$D$62,$A6,Tasks!$S$2:$S$62,"N")-COUNTIFS(Tasks!$D$2:$D$62,$A6,Tasks!$S$2:$S$62,"N",Tasks!$I$2:$I$62,"&gt;0")</f>
        <v/>
      </c>
      <c r="I6" s="5">
        <f>SUMIFS(Tasks!$I$2:$I$62,Tasks!$D$2:$D$62,$A6)</f>
        <v/>
      </c>
      <c r="J6" s="5">
        <f>SUMIFS(Tasks!$M$2:$M$62,Tasks!$D$2:$D$62,$A6)</f>
        <v/>
      </c>
      <c r="K6" s="7">
        <f>SUMIFS(Tasks!$P$2:$P$62,Tasks!$D$2:$D$62,$A6)</f>
        <v/>
      </c>
      <c r="L6" s="5">
        <f>SUMIFS(Tasks!$T$2:$T$62,Tasks!$D$2:$D$62,$A6)</f>
        <v/>
      </c>
      <c r="M6" s="5">
        <f>SUMIFS(Tasks!$U$2:$U$62,Tasks!$D$2:$D$62,$A6)</f>
        <v/>
      </c>
      <c r="N6" s="4">
        <f>IF(SUMIFS(Tasks!$M$2:$M$62,Tasks!$D$2:$D$62,$A6,Tasks!$S$2:$S$62,"Y")=0,"",L6/SUMIFS(Tasks!$M$2:$M$62,Tasks!$D$2:$D$62,$A6,Tasks!$S$2:$S$62,"Y"))</f>
        <v/>
      </c>
    </row>
    <row r="7">
      <c r="A7" s="2" t="inlineStr">
        <is>
          <t>Mika</t>
        </is>
      </c>
      <c r="B7" s="2" t="inlineStr">
        <is>
          <t>Sonnet 5.5</t>
        </is>
      </c>
      <c r="C7" s="2" t="inlineStr">
        <is>
          <t>medium</t>
        </is>
      </c>
      <c r="D7" s="4">
        <f>INDEX(Calibration!$D$5:$D$11,MATCH(B7&amp;" "&amp;C7,Calibration!$A$5:$A$11,0))</f>
        <v/>
      </c>
      <c r="E7" s="2" t="inlineStr">
        <is>
          <t>Seed data and decision log</t>
        </is>
      </c>
      <c r="F7" s="15">
        <f>COUNTIFS(Tasks!$D$2:$D$62,$A7,Tasks!$I$2:$I$62,"&gt;0")</f>
        <v/>
      </c>
      <c r="G7" s="15">
        <f>COUNTIFS(Tasks!$D$2:$D$62,$A7,Tasks!$S$2:$S$62,"Y")</f>
        <v/>
      </c>
      <c r="H7" s="15">
        <f>COUNTIFS(Tasks!$D$2:$D$62,$A7,Tasks!$S$2:$S$62,"N")-COUNTIFS(Tasks!$D$2:$D$62,$A7,Tasks!$S$2:$S$62,"N",Tasks!$I$2:$I$62,"&gt;0")</f>
        <v/>
      </c>
      <c r="I7" s="5">
        <f>SUMIFS(Tasks!$I$2:$I$62,Tasks!$D$2:$D$62,$A7)</f>
        <v/>
      </c>
      <c r="J7" s="5">
        <f>SUMIFS(Tasks!$M$2:$M$62,Tasks!$D$2:$D$62,$A7)</f>
        <v/>
      </c>
      <c r="K7" s="7">
        <f>SUMIFS(Tasks!$P$2:$P$62,Tasks!$D$2:$D$62,$A7)</f>
        <v/>
      </c>
      <c r="L7" s="5">
        <f>SUMIFS(Tasks!$T$2:$T$62,Tasks!$D$2:$D$62,$A7)</f>
        <v/>
      </c>
      <c r="M7" s="5">
        <f>SUMIFS(Tasks!$U$2:$U$62,Tasks!$D$2:$D$62,$A7)</f>
        <v/>
      </c>
      <c r="N7" s="4">
        <f>IF(SUMIFS(Tasks!$M$2:$M$62,Tasks!$D$2:$D$62,$A7,Tasks!$S$2:$S$62,"Y")=0,"",L7/SUMIFS(Tasks!$M$2:$M$62,Tasks!$D$2:$D$62,$A7,Tasks!$S$2:$S$62,"Y"))</f>
        <v/>
      </c>
    </row>
    <row r="8">
      <c r="A8" s="2" t="inlineStr">
        <is>
          <t>Remy</t>
        </is>
      </c>
      <c r="B8" s="2" t="inlineStr">
        <is>
          <t>Sonnet 5.5</t>
        </is>
      </c>
      <c r="C8" s="2" t="inlineStr">
        <is>
          <t>medium</t>
        </is>
      </c>
      <c r="D8" s="4">
        <f>INDEX(Calibration!$D$5:$D$11,MATCH(B8&amp;" "&amp;C8,Calibration!$A$5:$A$11,0))</f>
        <v/>
      </c>
      <c r="E8" s="2" t="inlineStr">
        <is>
          <t>Tools and npm start</t>
        </is>
      </c>
      <c r="F8" s="15">
        <f>COUNTIFS(Tasks!$D$2:$D$62,$A8,Tasks!$I$2:$I$62,"&gt;0")</f>
        <v/>
      </c>
      <c r="G8" s="15">
        <f>COUNTIFS(Tasks!$D$2:$D$62,$A8,Tasks!$S$2:$S$62,"Y")</f>
        <v/>
      </c>
      <c r="H8" s="15">
        <f>COUNTIFS(Tasks!$D$2:$D$62,$A8,Tasks!$S$2:$S$62,"N")-COUNTIFS(Tasks!$D$2:$D$62,$A8,Tasks!$S$2:$S$62,"N",Tasks!$I$2:$I$62,"&gt;0")</f>
        <v/>
      </c>
      <c r="I8" s="5">
        <f>SUMIFS(Tasks!$I$2:$I$62,Tasks!$D$2:$D$62,$A8)</f>
        <v/>
      </c>
      <c r="J8" s="5">
        <f>SUMIFS(Tasks!$M$2:$M$62,Tasks!$D$2:$D$62,$A8)</f>
        <v/>
      </c>
      <c r="K8" s="7">
        <f>SUMIFS(Tasks!$P$2:$P$62,Tasks!$D$2:$D$62,$A8)</f>
        <v/>
      </c>
      <c r="L8" s="5">
        <f>SUMIFS(Tasks!$T$2:$T$62,Tasks!$D$2:$D$62,$A8)</f>
        <v/>
      </c>
      <c r="M8" s="5">
        <f>SUMIFS(Tasks!$U$2:$U$62,Tasks!$D$2:$D$62,$A8)</f>
        <v/>
      </c>
      <c r="N8" s="4">
        <f>IF(SUMIFS(Tasks!$M$2:$M$62,Tasks!$D$2:$D$62,$A8,Tasks!$S$2:$S$62,"Y")=0,"",L8/SUMIFS(Tasks!$M$2:$M$62,Tasks!$D$2:$D$62,$A8,Tasks!$S$2:$S$62,"Y"))</f>
        <v/>
      </c>
    </row>
    <row r="9">
      <c r="A9" s="2" t="inlineStr">
        <is>
          <t>Noor</t>
        </is>
      </c>
      <c r="B9" s="2" t="inlineStr">
        <is>
          <t>Opus 5.5</t>
        </is>
      </c>
      <c r="C9" s="2" t="inlineStr">
        <is>
          <t>low</t>
        </is>
      </c>
      <c r="D9" s="4">
        <f>INDEX(Calibration!$D$5:$D$11,MATCH(B9&amp;" "&amp;C9,Calibration!$A$5:$A$11,0))</f>
        <v/>
      </c>
      <c r="E9" s="2" t="inlineStr">
        <is>
          <t>Fixture recording</t>
        </is>
      </c>
      <c r="F9" s="15">
        <f>COUNTIFS(Tasks!$D$2:$D$62,$A9,Tasks!$I$2:$I$62,"&gt;0")</f>
        <v/>
      </c>
      <c r="G9" s="15">
        <f>COUNTIFS(Tasks!$D$2:$D$62,$A9,Tasks!$S$2:$S$62,"Y")</f>
        <v/>
      </c>
      <c r="H9" s="15">
        <f>COUNTIFS(Tasks!$D$2:$D$62,$A9,Tasks!$S$2:$S$62,"N")-COUNTIFS(Tasks!$D$2:$D$62,$A9,Tasks!$S$2:$S$62,"N",Tasks!$I$2:$I$62,"&gt;0")</f>
        <v/>
      </c>
      <c r="I9" s="5">
        <f>SUMIFS(Tasks!$I$2:$I$62,Tasks!$D$2:$D$62,$A9)</f>
        <v/>
      </c>
      <c r="J9" s="5">
        <f>SUMIFS(Tasks!$M$2:$M$62,Tasks!$D$2:$D$62,$A9)</f>
        <v/>
      </c>
      <c r="K9" s="7">
        <f>SUMIFS(Tasks!$P$2:$P$62,Tasks!$D$2:$D$62,$A9)</f>
        <v/>
      </c>
      <c r="L9" s="5">
        <f>SUMIFS(Tasks!$T$2:$T$62,Tasks!$D$2:$D$62,$A9)</f>
        <v/>
      </c>
      <c r="M9" s="5">
        <f>SUMIFS(Tasks!$U$2:$U$62,Tasks!$D$2:$D$62,$A9)</f>
        <v/>
      </c>
      <c r="N9" s="4">
        <f>IF(SUMIFS(Tasks!$M$2:$M$62,Tasks!$D$2:$D$62,$A9,Tasks!$S$2:$S$62,"Y")=0,"",L9/SUMIFS(Tasks!$M$2:$M$62,Tasks!$D$2:$D$62,$A9,Tasks!$S$2:$S$62,"Y"))</f>
        <v/>
      </c>
    </row>
    <row r="10">
      <c r="A10" s="8" t="inlineStr">
        <is>
          <t>Total</t>
        </is>
      </c>
      <c r="B10" s="8" t="n"/>
      <c r="C10" s="8" t="n"/>
      <c r="D10" s="10" t="n"/>
      <c r="E10" s="8" t="n"/>
      <c r="F10" s="8">
        <f>SUM(F2:F9)</f>
        <v/>
      </c>
      <c r="G10" s="8">
        <f>SUM(G2:G9)</f>
        <v/>
      </c>
      <c r="H10" s="8">
        <f>SUM(H2:H9)</f>
        <v/>
      </c>
      <c r="I10" s="9">
        <f>SUM(I2:I9)</f>
        <v/>
      </c>
      <c r="J10" s="9">
        <f>SUM(J2:J9)</f>
        <v/>
      </c>
      <c r="K10" s="11">
        <f>SUM(K2:K9)</f>
        <v/>
      </c>
      <c r="L10" s="9">
        <f>SUM(L2:L9)</f>
        <v/>
      </c>
      <c r="M10" s="9">
        <f>SUM(M2:M9)</f>
        <v/>
      </c>
      <c r="N10" s="10" t="n"/>
    </row>
    <row r="12" ht="28" customHeight="1">
      <c r="A12" s="12" t="inlineStr">
        <is>
          <t>Each agent is one persistent worker with a fixed model and effort; it keeps its lane across waves and is continued, not restarted, for its next task. Every Tasks row (including rejected attempts) names its agent in Owner agent.</t>
        </is>
      </c>
    </row>
  </sheetData>
  <mergeCells count="1">
    <mergeCell ref="A12:N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8" customWidth="1" min="3" max="3"/>
    <col width="10" customWidth="1" min="4" max="4"/>
    <col width="70" customWidth="1" min="5" max="5"/>
    <col width="9" customWidth="1" min="6" max="6"/>
    <col width="11" customWidth="1" min="7" max="7"/>
    <col width="11" customWidth="1" min="8" max="8"/>
    <col width="10" customWidth="1" min="9" max="9"/>
    <col width="14" customWidth="1" min="10" max="10"/>
    <col width="14" customWidth="1" min="11" max="11"/>
  </cols>
  <sheetData>
    <row r="1">
      <c r="A1" s="16" t="inlineStr">
        <is>
          <t>Calibration: model and effort multipliers</t>
        </is>
      </c>
    </row>
    <row r="2" ht="30" customHeight="1">
      <c r="A2" s="17" t="inlineStr">
        <is>
          <t>Adjusted SP = baseline SP × multiplier. Raw actual SP = runtime minutes ÷ 20. Normalised actual SP = raw ÷ multiplier. Ratio &gt; 1 means that model/effort ran slower than estimated; the implied multiplier is what the data so far suggests.</t>
        </is>
      </c>
    </row>
    <row r="4" ht="32" customHeight="1">
      <c r="A4" s="1" t="inlineStr">
        <is>
          <t>Key</t>
        </is>
      </c>
      <c r="B4" s="1" t="inlineStr">
        <is>
          <t>Model</t>
        </is>
      </c>
      <c r="C4" s="1" t="inlineStr">
        <is>
          <t>Effort</t>
        </is>
      </c>
      <c r="D4" s="1" t="inlineStr">
        <is>
          <t>Multiplier</t>
        </is>
      </c>
      <c r="E4" s="1" t="inlineStr">
        <is>
          <t>Reasoning</t>
        </is>
      </c>
      <c r="F4" s="1" t="inlineStr">
        <is>
          <t>Accepted tasks</t>
        </is>
      </c>
      <c r="G4" s="1" t="inlineStr">
        <is>
          <t>Baseline SP (accepted)</t>
        </is>
      </c>
      <c r="H4" s="1" t="inlineStr">
        <is>
          <t>Adjusted SP (accepted)</t>
        </is>
      </c>
      <c r="I4" s="1" t="inlineStr">
        <is>
          <t>Raw actual SP</t>
        </is>
      </c>
      <c r="J4" s="1" t="inlineStr">
        <is>
          <t>Actual ÷ estimate (raw ÷ adjusted)</t>
        </is>
      </c>
      <c r="K4" s="1" t="inlineStr">
        <is>
          <t>Implied multiplier (raw ÷ baseline)</t>
        </is>
      </c>
    </row>
    <row r="5">
      <c r="A5" s="15">
        <f>B5&amp;" "&amp;C5</f>
        <v/>
      </c>
      <c r="B5" s="2" t="inlineStr">
        <is>
          <t>Opus 5.5</t>
        </is>
      </c>
      <c r="C5" s="2" t="inlineStr">
        <is>
          <t>medium</t>
        </is>
      </c>
      <c r="D5" s="18" t="n">
        <v>1</v>
      </c>
      <c r="E5" s="2" t="inlineStr">
        <is>
          <t>Baseline by definition: 1 SP = up to 20 min of Opus 5.5 at medium effort.</t>
        </is>
      </c>
      <c r="F5" s="15">
        <f>COUNTIFS(Tasks!$J$2:$J$62,$B5,Tasks!$K$2:$K$62,$C5,Tasks!$S$2:$S$62,"Y")</f>
        <v/>
      </c>
      <c r="G5" s="5">
        <f>SUMIFS(Tasks!$I$2:$I$62,Tasks!$J$2:$J$62,$B5,Tasks!$K$2:$K$62,$C5,Tasks!$S$2:$S$62,"Y")</f>
        <v/>
      </c>
      <c r="H5" s="5">
        <f>SUMIFS(Tasks!$M$2:$M$62,Tasks!$J$2:$J$62,$B5,Tasks!$K$2:$K$62,$C5,Tasks!$S$2:$S$62,"Y")</f>
        <v/>
      </c>
      <c r="I5" s="5">
        <f>SUMIFS(Tasks!$T$2:$T$62,Tasks!$J$2:$J$62,$B5,Tasks!$K$2:$K$62,$C5,Tasks!$S$2:$S$62,"Y")</f>
        <v/>
      </c>
      <c r="J5" s="4">
        <f>IF(H5=0,"",I5/H5)</f>
        <v/>
      </c>
      <c r="K5" s="4">
        <f>IF(G5=0,"",I5/G5)</f>
        <v/>
      </c>
    </row>
    <row r="6">
      <c r="A6" s="15">
        <f>B6&amp;" "&amp;C6</f>
        <v/>
      </c>
      <c r="B6" s="2" t="inlineStr">
        <is>
          <t>Opus 5.5</t>
        </is>
      </c>
      <c r="C6" s="2" t="inlineStr">
        <is>
          <t>high</t>
        </is>
      </c>
      <c r="D6" s="18" t="n">
        <v>1.2</v>
      </c>
      <c r="E6" s="2" t="inlineStr">
        <is>
          <t>Fixed by Soham. More deliberation per step: roughly +20% runtime for the same task.</t>
        </is>
      </c>
      <c r="F6" s="15">
        <f>COUNTIFS(Tasks!$J$2:$J$62,$B6,Tasks!$K$2:$K$62,$C6,Tasks!$S$2:$S$62,"Y")</f>
        <v/>
      </c>
      <c r="G6" s="5">
        <f>SUMIFS(Tasks!$I$2:$I$62,Tasks!$J$2:$J$62,$B6,Tasks!$K$2:$K$62,$C6,Tasks!$S$2:$S$62,"Y")</f>
        <v/>
      </c>
      <c r="H6" s="5">
        <f>SUMIFS(Tasks!$M$2:$M$62,Tasks!$J$2:$J$62,$B6,Tasks!$K$2:$K$62,$C6,Tasks!$S$2:$S$62,"Y")</f>
        <v/>
      </c>
      <c r="I6" s="5">
        <f>SUMIFS(Tasks!$T$2:$T$62,Tasks!$J$2:$J$62,$B6,Tasks!$K$2:$K$62,$C6,Tasks!$S$2:$S$62,"Y")</f>
        <v/>
      </c>
      <c r="J6" s="4">
        <f>IF(H6=0,"",I6/H6)</f>
        <v/>
      </c>
      <c r="K6" s="4">
        <f>IF(G6=0,"",I6/G6)</f>
        <v/>
      </c>
    </row>
    <row r="7">
      <c r="A7" s="15">
        <f>B7&amp;" "&amp;C7</f>
        <v/>
      </c>
      <c r="B7" s="2" t="inlineStr">
        <is>
          <t>Opus 5.5</t>
        </is>
      </c>
      <c r="C7" s="2" t="inlineStr">
        <is>
          <t>low</t>
        </is>
      </c>
      <c r="D7" s="18" t="n">
        <v>0.85</v>
      </c>
      <c r="E7" s="2" t="inlineStr">
        <is>
          <t>Brief's starting point. Less thinking per step, but tool calls and test runs don't shrink, so the saving (-15%) is smaller than the high premium (+20%).</t>
        </is>
      </c>
      <c r="F7" s="15">
        <f>COUNTIFS(Tasks!$J$2:$J$62,$B7,Tasks!$K$2:$K$62,$C7,Tasks!$S$2:$S$62,"Y")</f>
        <v/>
      </c>
      <c r="G7" s="5">
        <f>SUMIFS(Tasks!$I$2:$I$62,Tasks!$J$2:$J$62,$B7,Tasks!$K$2:$K$62,$C7,Tasks!$S$2:$S$62,"Y")</f>
        <v/>
      </c>
      <c r="H7" s="5">
        <f>SUMIFS(Tasks!$M$2:$M$62,Tasks!$J$2:$J$62,$B7,Tasks!$K$2:$K$62,$C7,Tasks!$S$2:$S$62,"Y")</f>
        <v/>
      </c>
      <c r="I7" s="5">
        <f>SUMIFS(Tasks!$T$2:$T$62,Tasks!$J$2:$J$62,$B7,Tasks!$K$2:$K$62,$C7,Tasks!$S$2:$S$62,"Y")</f>
        <v/>
      </c>
      <c r="J7" s="4">
        <f>IF(H7=0,"",I7/H7)</f>
        <v/>
      </c>
      <c r="K7" s="4">
        <f>IF(G7=0,"",I7/G7)</f>
        <v/>
      </c>
    </row>
    <row r="8">
      <c r="A8" s="15">
        <f>B8&amp;" "&amp;C8</f>
        <v/>
      </c>
      <c r="B8" s="2" t="inlineStr">
        <is>
          <t>Opus 5.5</t>
        </is>
      </c>
      <c r="C8" s="2" t="inlineStr">
        <is>
          <t>xhigh</t>
        </is>
      </c>
      <c r="D8" s="18" t="n">
        <v>1.45</v>
      </c>
      <c r="E8" s="2" t="inlineStr">
        <is>
          <t>Brief's starting point. Roughly one more high-sized step above high (+25% on top of 1.2), as thinking budgets grow faster at the top end.</t>
        </is>
      </c>
      <c r="F8" s="15">
        <f>COUNTIFS(Tasks!$J$2:$J$62,$B8,Tasks!$K$2:$K$62,$C8,Tasks!$S$2:$S$62,"Y")</f>
        <v/>
      </c>
      <c r="G8" s="5">
        <f>SUMIFS(Tasks!$I$2:$I$62,Tasks!$J$2:$J$62,$B8,Tasks!$K$2:$K$62,$C8,Tasks!$S$2:$S$62,"Y")</f>
        <v/>
      </c>
      <c r="H8" s="5">
        <f>SUMIFS(Tasks!$M$2:$M$62,Tasks!$J$2:$J$62,$B8,Tasks!$K$2:$K$62,$C8,Tasks!$S$2:$S$62,"Y")</f>
        <v/>
      </c>
      <c r="I8" s="5">
        <f>SUMIFS(Tasks!$T$2:$T$62,Tasks!$J$2:$J$62,$B8,Tasks!$K$2:$K$62,$C8,Tasks!$S$2:$S$62,"Y")</f>
        <v/>
      </c>
      <c r="J8" s="4">
        <f>IF(H8=0,"",I8/H8)</f>
        <v/>
      </c>
      <c r="K8" s="4">
        <f>IF(G8=0,"",I8/G8)</f>
        <v/>
      </c>
    </row>
    <row r="9">
      <c r="A9" s="15">
        <f>B9&amp;" "&amp;C9</f>
        <v/>
      </c>
      <c r="B9" s="2" t="inlineStr">
        <is>
          <t>Opus 5.5</t>
        </is>
      </c>
      <c r="C9" s="2" t="inlineStr">
        <is>
          <t>max</t>
        </is>
      </c>
      <c r="D9" s="18" t="n">
        <v>1.75</v>
      </c>
      <c r="E9" s="2" t="inlineStr">
        <is>
          <t>Extrapolated: another step of about +0.3 above xhigh. Not used in this plan.</t>
        </is>
      </c>
      <c r="F9" s="15">
        <f>COUNTIFS(Tasks!$J$2:$J$62,$B9,Tasks!$K$2:$K$62,$C9,Tasks!$S$2:$S$62,"Y")</f>
        <v/>
      </c>
      <c r="G9" s="5">
        <f>SUMIFS(Tasks!$I$2:$I$62,Tasks!$J$2:$J$62,$B9,Tasks!$K$2:$K$62,$C9,Tasks!$S$2:$S$62,"Y")</f>
        <v/>
      </c>
      <c r="H9" s="5">
        <f>SUMIFS(Tasks!$M$2:$M$62,Tasks!$J$2:$J$62,$B9,Tasks!$K$2:$K$62,$C9,Tasks!$S$2:$S$62,"Y")</f>
        <v/>
      </c>
      <c r="I9" s="5">
        <f>SUMIFS(Tasks!$T$2:$T$62,Tasks!$J$2:$J$62,$B9,Tasks!$K$2:$K$62,$C9,Tasks!$S$2:$S$62,"Y")</f>
        <v/>
      </c>
      <c r="J9" s="4">
        <f>IF(H9=0,"",I9/H9)</f>
        <v/>
      </c>
      <c r="K9" s="4">
        <f>IF(G9=0,"",I9/G9)</f>
        <v/>
      </c>
    </row>
    <row r="10">
      <c r="A10" s="15">
        <f>B10&amp;" "&amp;C10</f>
        <v/>
      </c>
      <c r="B10" s="2" t="inlineStr">
        <is>
          <t>Sonnet 5.5</t>
        </is>
      </c>
      <c r="C10" s="2" t="inlineStr">
        <is>
          <t>medium</t>
        </is>
      </c>
      <c r="D10" s="18" t="n">
        <v>0.7</v>
      </c>
      <c r="E10" s="2" t="inlineStr">
        <is>
          <t>Brief's starting point for a smaller model at medium. Faster output, partly offset by more retries on edge cases. Used only for simple, well-specified tasks.</t>
        </is>
      </c>
      <c r="F10" s="15">
        <f>COUNTIFS(Tasks!$J$2:$J$62,$B10,Tasks!$K$2:$K$62,$C10,Tasks!$S$2:$S$62,"Y")</f>
        <v/>
      </c>
      <c r="G10" s="5">
        <f>SUMIFS(Tasks!$I$2:$I$62,Tasks!$J$2:$J$62,$B10,Tasks!$K$2:$K$62,$C10,Tasks!$S$2:$S$62,"Y")</f>
        <v/>
      </c>
      <c r="H10" s="5">
        <f>SUMIFS(Tasks!$M$2:$M$62,Tasks!$J$2:$J$62,$B10,Tasks!$K$2:$K$62,$C10,Tasks!$S$2:$S$62,"Y")</f>
        <v/>
      </c>
      <c r="I10" s="5">
        <f>SUMIFS(Tasks!$T$2:$T$62,Tasks!$J$2:$J$62,$B10,Tasks!$K$2:$K$62,$C10,Tasks!$S$2:$S$62,"Y")</f>
        <v/>
      </c>
      <c r="J10" s="4">
        <f>IF(H10=0,"",I10/H10)</f>
        <v/>
      </c>
      <c r="K10" s="4">
        <f>IF(G10=0,"",I10/G10)</f>
        <v/>
      </c>
    </row>
    <row r="11">
      <c r="A11" s="15">
        <f>B11&amp;" "&amp;C11</f>
        <v/>
      </c>
      <c r="B11" s="2" t="inlineStr">
        <is>
          <t>Haiku 5.5</t>
        </is>
      </c>
      <c r="C11" s="2" t="inlineStr">
        <is>
          <t>medium</t>
        </is>
      </c>
      <c r="D11" s="18" t="n">
        <v>0.55</v>
      </c>
      <c r="E11" s="2" t="inlineStr">
        <is>
          <t>Extrapolated below Sonnet. Not used in this plan.</t>
        </is>
      </c>
      <c r="F11" s="15">
        <f>COUNTIFS(Tasks!$J$2:$J$62,$B11,Tasks!$K$2:$K$62,$C11,Tasks!$S$2:$S$62,"Y")</f>
        <v/>
      </c>
      <c r="G11" s="5">
        <f>SUMIFS(Tasks!$I$2:$I$62,Tasks!$J$2:$J$62,$B11,Tasks!$K$2:$K$62,$C11,Tasks!$S$2:$S$62,"Y")</f>
        <v/>
      </c>
      <c r="H11" s="5">
        <f>SUMIFS(Tasks!$M$2:$M$62,Tasks!$J$2:$J$62,$B11,Tasks!$K$2:$K$62,$C11,Tasks!$S$2:$S$62,"Y")</f>
        <v/>
      </c>
      <c r="I11" s="5">
        <f>SUMIFS(Tasks!$T$2:$T$62,Tasks!$J$2:$J$62,$B11,Tasks!$K$2:$K$62,$C11,Tasks!$S$2:$S$62,"Y")</f>
        <v/>
      </c>
      <c r="J11" s="4">
        <f>IF(H11=0,"",I11/H11)</f>
        <v/>
      </c>
      <c r="K11" s="4">
        <f>IF(G11=0,"",I11/G11)</f>
        <v/>
      </c>
    </row>
  </sheetData>
  <mergeCells count="1">
    <mergeCell ref="A2:K2"/>
  </mergeCell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  <col width="12" customWidth="1" min="5" max="5"/>
    <col width="14" customWidth="1" min="6" max="6"/>
    <col width="16" customWidth="1" min="7" max="7"/>
    <col width="12" customWidth="1" min="8" max="8"/>
  </cols>
  <sheetData>
    <row r="1">
      <c r="A1" s="16" t="inlineStr">
        <is>
          <t>Summary: estimated vs actual SP</t>
        </is>
      </c>
    </row>
    <row r="2" ht="45" customHeight="1">
      <c r="A2" s="17" t="inlineStr">
        <is>
          <t>How to use: fill in only the yellow cells on Tasks (Start, End, Attempts, PR link, Accepted, Notes) and on Stories (Status, Accepted). Log a rejected attempt on its own Tasks row: same ID, Story ID, Wave, Owner agent, Model and Effort, blank Baseline SP, Accepted = N, and the reason in Notes. Blue = typed-in value, black = formula, green = link to another tab.</t>
        </is>
      </c>
    </row>
    <row r="3"/>
    <row r="4">
      <c r="A4" s="19" t="inlineStr">
        <is>
          <t>By story</t>
        </is>
      </c>
    </row>
    <row r="5" ht="32" customHeight="1">
      <c r="A5" s="1" t="inlineStr">
        <is>
          <t>Story</t>
        </is>
      </c>
      <c r="B5" s="1" t="inlineStr">
        <is>
          <t>Story estimate SP (Phase 1)</t>
        </is>
      </c>
      <c r="C5" s="1" t="inlineStr">
        <is>
          <t>Task baseline SP (Phase 2)</t>
        </is>
      </c>
      <c r="D5" s="1" t="inlineStr">
        <is>
          <t>Task adjusted SP</t>
        </is>
      </c>
      <c r="E5" s="1" t="inlineStr">
        <is>
          <t>Raw actual SP</t>
        </is>
      </c>
      <c r="F5" s="1" t="inlineStr">
        <is>
          <t>Normalised actual SP</t>
        </is>
      </c>
      <c r="G5" s="1" t="inlineStr">
        <is>
          <t>Variance vs task baseline</t>
        </is>
      </c>
      <c r="H5" s="1" t="inlineStr">
        <is>
          <t>Accepted</t>
        </is>
      </c>
    </row>
    <row r="6">
      <c r="A6" s="20">
        <f>Stories!A2</f>
        <v/>
      </c>
      <c r="B6" s="21">
        <f>Stories!E2</f>
        <v/>
      </c>
      <c r="C6" s="5">
        <f>SUMIFS(Tasks!$I$2:$I$62,Tasks!$B$2:$B$62,A6)</f>
        <v/>
      </c>
      <c r="D6" s="5">
        <f>SUMIFS(Tasks!$M$2:$M$62,Tasks!$B$2:$B$62,A6)</f>
        <v/>
      </c>
      <c r="E6" s="5">
        <f>SUMIFS(Tasks!$T$2:$T$62,Tasks!$B$2:$B$62,A6)</f>
        <v/>
      </c>
      <c r="F6" s="5">
        <f>SUMIFS(Tasks!$U$2:$U$62,Tasks!$B$2:$B$62,A6)</f>
        <v/>
      </c>
      <c r="G6" s="5">
        <f>IF(F6=0,"",F6-C6)</f>
        <v/>
      </c>
      <c r="H6" s="20">
        <f>Stories!K2</f>
        <v/>
      </c>
    </row>
    <row r="7">
      <c r="A7" s="20">
        <f>Stories!A3</f>
        <v/>
      </c>
      <c r="B7" s="21">
        <f>Stories!E3</f>
        <v/>
      </c>
      <c r="C7" s="5">
        <f>SUMIFS(Tasks!$I$2:$I$62,Tasks!$B$2:$B$62,A7)</f>
        <v/>
      </c>
      <c r="D7" s="5">
        <f>SUMIFS(Tasks!$M$2:$M$62,Tasks!$B$2:$B$62,A7)</f>
        <v/>
      </c>
      <c r="E7" s="5">
        <f>SUMIFS(Tasks!$T$2:$T$62,Tasks!$B$2:$B$62,A7)</f>
        <v/>
      </c>
      <c r="F7" s="5">
        <f>SUMIFS(Tasks!$U$2:$U$62,Tasks!$B$2:$B$62,A7)</f>
        <v/>
      </c>
      <c r="G7" s="5">
        <f>IF(F7=0,"",F7-C7)</f>
        <v/>
      </c>
      <c r="H7" s="20">
        <f>Stories!K3</f>
        <v/>
      </c>
    </row>
    <row r="8">
      <c r="A8" s="20">
        <f>Stories!A4</f>
        <v/>
      </c>
      <c r="B8" s="21">
        <f>Stories!E4</f>
        <v/>
      </c>
      <c r="C8" s="5">
        <f>SUMIFS(Tasks!$I$2:$I$62,Tasks!$B$2:$B$62,A8)</f>
        <v/>
      </c>
      <c r="D8" s="5">
        <f>SUMIFS(Tasks!$M$2:$M$62,Tasks!$B$2:$B$62,A8)</f>
        <v/>
      </c>
      <c r="E8" s="5">
        <f>SUMIFS(Tasks!$T$2:$T$62,Tasks!$B$2:$B$62,A8)</f>
        <v/>
      </c>
      <c r="F8" s="5">
        <f>SUMIFS(Tasks!$U$2:$U$62,Tasks!$B$2:$B$62,A8)</f>
        <v/>
      </c>
      <c r="G8" s="5">
        <f>IF(F8=0,"",F8-C8)</f>
        <v/>
      </c>
      <c r="H8" s="20">
        <f>Stories!K4</f>
        <v/>
      </c>
    </row>
    <row r="9">
      <c r="A9" s="20">
        <f>Stories!A5</f>
        <v/>
      </c>
      <c r="B9" s="21">
        <f>Stories!E5</f>
        <v/>
      </c>
      <c r="C9" s="5">
        <f>SUMIFS(Tasks!$I$2:$I$62,Tasks!$B$2:$B$62,A9)</f>
        <v/>
      </c>
      <c r="D9" s="5">
        <f>SUMIFS(Tasks!$M$2:$M$62,Tasks!$B$2:$B$62,A9)</f>
        <v/>
      </c>
      <c r="E9" s="5">
        <f>SUMIFS(Tasks!$T$2:$T$62,Tasks!$B$2:$B$62,A9)</f>
        <v/>
      </c>
      <c r="F9" s="5">
        <f>SUMIFS(Tasks!$U$2:$U$62,Tasks!$B$2:$B$62,A9)</f>
        <v/>
      </c>
      <c r="G9" s="5">
        <f>IF(F9=0,"",F9-C9)</f>
        <v/>
      </c>
      <c r="H9" s="20">
        <f>Stories!K5</f>
        <v/>
      </c>
    </row>
    <row r="10">
      <c r="A10" s="20">
        <f>Stories!A6</f>
        <v/>
      </c>
      <c r="B10" s="21">
        <f>Stories!E6</f>
        <v/>
      </c>
      <c r="C10" s="5">
        <f>SUMIFS(Tasks!$I$2:$I$62,Tasks!$B$2:$B$62,A10)</f>
        <v/>
      </c>
      <c r="D10" s="5">
        <f>SUMIFS(Tasks!$M$2:$M$62,Tasks!$B$2:$B$62,A10)</f>
        <v/>
      </c>
      <c r="E10" s="5">
        <f>SUMIFS(Tasks!$T$2:$T$62,Tasks!$B$2:$B$62,A10)</f>
        <v/>
      </c>
      <c r="F10" s="5">
        <f>SUMIFS(Tasks!$U$2:$U$62,Tasks!$B$2:$B$62,A10)</f>
        <v/>
      </c>
      <c r="G10" s="5">
        <f>IF(F10=0,"",F10-C10)</f>
        <v/>
      </c>
      <c r="H10" s="20">
        <f>Stories!K6</f>
        <v/>
      </c>
    </row>
    <row r="11">
      <c r="A11" s="20">
        <f>Stories!A7</f>
        <v/>
      </c>
      <c r="B11" s="21">
        <f>Stories!E7</f>
        <v/>
      </c>
      <c r="C11" s="5">
        <f>SUMIFS(Tasks!$I$2:$I$62,Tasks!$B$2:$B$62,A11)</f>
        <v/>
      </c>
      <c r="D11" s="5">
        <f>SUMIFS(Tasks!$M$2:$M$62,Tasks!$B$2:$B$62,A11)</f>
        <v/>
      </c>
      <c r="E11" s="5">
        <f>SUMIFS(Tasks!$T$2:$T$62,Tasks!$B$2:$B$62,A11)</f>
        <v/>
      </c>
      <c r="F11" s="5">
        <f>SUMIFS(Tasks!$U$2:$U$62,Tasks!$B$2:$B$62,A11)</f>
        <v/>
      </c>
      <c r="G11" s="5">
        <f>IF(F11=0,"",F11-C11)</f>
        <v/>
      </c>
      <c r="H11" s="20">
        <f>Stories!K7</f>
        <v/>
      </c>
    </row>
    <row r="12">
      <c r="A12" s="20">
        <f>Stories!A8</f>
        <v/>
      </c>
      <c r="B12" s="21">
        <f>Stories!E8</f>
        <v/>
      </c>
      <c r="C12" s="5">
        <f>SUMIFS(Tasks!$I$2:$I$62,Tasks!$B$2:$B$62,A12)</f>
        <v/>
      </c>
      <c r="D12" s="5">
        <f>SUMIFS(Tasks!$M$2:$M$62,Tasks!$B$2:$B$62,A12)</f>
        <v/>
      </c>
      <c r="E12" s="5">
        <f>SUMIFS(Tasks!$T$2:$T$62,Tasks!$B$2:$B$62,A12)</f>
        <v/>
      </c>
      <c r="F12" s="5">
        <f>SUMIFS(Tasks!$U$2:$U$62,Tasks!$B$2:$B$62,A12)</f>
        <v/>
      </c>
      <c r="G12" s="5">
        <f>IF(F12=0,"",F12-C12)</f>
        <v/>
      </c>
      <c r="H12" s="20">
        <f>Stories!K8</f>
        <v/>
      </c>
    </row>
    <row r="13">
      <c r="A13" s="20">
        <f>Stories!A9</f>
        <v/>
      </c>
      <c r="B13" s="21">
        <f>Stories!E9</f>
        <v/>
      </c>
      <c r="C13" s="5">
        <f>SUMIFS(Tasks!$I$2:$I$62,Tasks!$B$2:$B$62,A13)</f>
        <v/>
      </c>
      <c r="D13" s="5">
        <f>SUMIFS(Tasks!$M$2:$M$62,Tasks!$B$2:$B$62,A13)</f>
        <v/>
      </c>
      <c r="E13" s="5">
        <f>SUMIFS(Tasks!$T$2:$T$62,Tasks!$B$2:$B$62,A13)</f>
        <v/>
      </c>
      <c r="F13" s="5">
        <f>SUMIFS(Tasks!$U$2:$U$62,Tasks!$B$2:$B$62,A13)</f>
        <v/>
      </c>
      <c r="G13" s="5">
        <f>IF(F13=0,"",F13-C13)</f>
        <v/>
      </c>
      <c r="H13" s="20">
        <f>Stories!K9</f>
        <v/>
      </c>
    </row>
    <row r="14">
      <c r="A14" s="20">
        <f>Stories!A10</f>
        <v/>
      </c>
      <c r="B14" s="21">
        <f>Stories!E10</f>
        <v/>
      </c>
      <c r="C14" s="5">
        <f>SUMIFS(Tasks!$I$2:$I$62,Tasks!$B$2:$B$62,A14)</f>
        <v/>
      </c>
      <c r="D14" s="5">
        <f>SUMIFS(Tasks!$M$2:$M$62,Tasks!$B$2:$B$62,A14)</f>
        <v/>
      </c>
      <c r="E14" s="5">
        <f>SUMIFS(Tasks!$T$2:$T$62,Tasks!$B$2:$B$62,A14)</f>
        <v/>
      </c>
      <c r="F14" s="5">
        <f>SUMIFS(Tasks!$U$2:$U$62,Tasks!$B$2:$B$62,A14)</f>
        <v/>
      </c>
      <c r="G14" s="5">
        <f>IF(F14=0,"",F14-C14)</f>
        <v/>
      </c>
      <c r="H14" s="20">
        <f>Stories!K10</f>
        <v/>
      </c>
    </row>
    <row r="15">
      <c r="A15" s="20">
        <f>Stories!A11</f>
        <v/>
      </c>
      <c r="B15" s="21">
        <f>Stories!E11</f>
        <v/>
      </c>
      <c r="C15" s="5">
        <f>SUMIFS(Tasks!$I$2:$I$62,Tasks!$B$2:$B$62,A15)</f>
        <v/>
      </c>
      <c r="D15" s="5">
        <f>SUMIFS(Tasks!$M$2:$M$62,Tasks!$B$2:$B$62,A15)</f>
        <v/>
      </c>
      <c r="E15" s="5">
        <f>SUMIFS(Tasks!$T$2:$T$62,Tasks!$B$2:$B$62,A15)</f>
        <v/>
      </c>
      <c r="F15" s="5">
        <f>SUMIFS(Tasks!$U$2:$U$62,Tasks!$B$2:$B$62,A15)</f>
        <v/>
      </c>
      <c r="G15" s="5">
        <f>IF(F15=0,"",F15-C15)</f>
        <v/>
      </c>
      <c r="H15" s="20">
        <f>Stories!K11</f>
        <v/>
      </c>
    </row>
    <row r="16">
      <c r="A16" s="20">
        <f>Stories!A12</f>
        <v/>
      </c>
      <c r="B16" s="21">
        <f>Stories!E12</f>
        <v/>
      </c>
      <c r="C16" s="5">
        <f>SUMIFS(Tasks!$I$2:$I$62,Tasks!$B$2:$B$62,A16)</f>
        <v/>
      </c>
      <c r="D16" s="5">
        <f>SUMIFS(Tasks!$M$2:$M$62,Tasks!$B$2:$B$62,A16)</f>
        <v/>
      </c>
      <c r="E16" s="5">
        <f>SUMIFS(Tasks!$T$2:$T$62,Tasks!$B$2:$B$62,A16)</f>
        <v/>
      </c>
      <c r="F16" s="5">
        <f>SUMIFS(Tasks!$U$2:$U$62,Tasks!$B$2:$B$62,A16)</f>
        <v/>
      </c>
      <c r="G16" s="5">
        <f>IF(F16=0,"",F16-C16)</f>
        <v/>
      </c>
      <c r="H16" s="20">
        <f>Stories!K12</f>
        <v/>
      </c>
    </row>
    <row r="17">
      <c r="A17" s="20">
        <f>Stories!A13</f>
        <v/>
      </c>
      <c r="B17" s="21">
        <f>Stories!E13</f>
        <v/>
      </c>
      <c r="C17" s="5">
        <f>SUMIFS(Tasks!$I$2:$I$62,Tasks!$B$2:$B$62,A17)</f>
        <v/>
      </c>
      <c r="D17" s="5">
        <f>SUMIFS(Tasks!$M$2:$M$62,Tasks!$B$2:$B$62,A17)</f>
        <v/>
      </c>
      <c r="E17" s="5">
        <f>SUMIFS(Tasks!$T$2:$T$62,Tasks!$B$2:$B$62,A17)</f>
        <v/>
      </c>
      <c r="F17" s="5">
        <f>SUMIFS(Tasks!$U$2:$U$62,Tasks!$B$2:$B$62,A17)</f>
        <v/>
      </c>
      <c r="G17" s="5">
        <f>IF(F17=0,"",F17-C17)</f>
        <v/>
      </c>
      <c r="H17" s="20">
        <f>Stories!K13</f>
        <v/>
      </c>
    </row>
    <row r="18">
      <c r="A18" s="8" t="inlineStr">
        <is>
          <t>Total</t>
        </is>
      </c>
      <c r="B18" s="9">
        <f>SUM(B6:B17)</f>
        <v/>
      </c>
      <c r="C18" s="9">
        <f>SUM(C6:C17)</f>
        <v/>
      </c>
      <c r="D18" s="9">
        <f>SUM(D6:D17)</f>
        <v/>
      </c>
      <c r="E18" s="9">
        <f>SUM(E6:E17)</f>
        <v/>
      </c>
      <c r="F18" s="9">
        <f>SUM(F6:F17)</f>
        <v/>
      </c>
      <c r="G18" s="9">
        <f>IF(F18=0,"",F18-SUMIFS(C6:C17,H6:H17,"Y"))</f>
        <v/>
      </c>
      <c r="H18" s="8" t="n"/>
    </row>
    <row r="19"/>
    <row r="20">
      <c r="A20" s="19" t="inlineStr">
        <is>
          <t>By wave</t>
        </is>
      </c>
    </row>
    <row r="21" ht="32" customHeight="1">
      <c r="A21" s="1" t="inlineStr">
        <is>
          <t>Wave</t>
        </is>
      </c>
      <c r="B21" s="1" t="inlineStr">
        <is>
          <t>Tasks</t>
        </is>
      </c>
      <c r="C21" s="1" t="inlineStr">
        <is>
          <t>Baseline SP</t>
        </is>
      </c>
      <c r="D21" s="1" t="inlineStr">
        <is>
          <t>Adjusted SP</t>
        </is>
      </c>
      <c r="E21" s="1" t="inlineStr">
        <is>
          <t>Raw actual SP</t>
        </is>
      </c>
      <c r="F21" s="1" t="inlineStr">
        <is>
          <t>Normalised actual SP</t>
        </is>
      </c>
      <c r="G21" s="1" t="inlineStr">
        <is>
          <t>Variance vs baseline</t>
        </is>
      </c>
      <c r="H21" s="1" t="inlineStr">
        <is>
          <t>Tasks accepted</t>
        </is>
      </c>
    </row>
    <row r="22">
      <c r="A22" s="22" t="n">
        <v>1</v>
      </c>
      <c r="B22" s="23">
        <f>COUNTIFS(Tasks!$E$2:$E$62,A22,Tasks!$I$2:$I$62,"&gt;0")</f>
        <v/>
      </c>
      <c r="C22" s="5">
        <f>SUMIFS(Tasks!$I$2:$I$62,Tasks!$E$2:$E$62,A22)</f>
        <v/>
      </c>
      <c r="D22" s="5">
        <f>SUMIFS(Tasks!$M$2:$M$62,Tasks!$E$2:$E$62,A22)</f>
        <v/>
      </c>
      <c r="E22" s="5">
        <f>SUMIFS(Tasks!$T$2:$T$62,Tasks!$E$2:$E$62,A22)</f>
        <v/>
      </c>
      <c r="F22" s="5">
        <f>SUMIFS(Tasks!$U$2:$U$62,Tasks!$E$2:$E$62,A22)</f>
        <v/>
      </c>
      <c r="G22" s="5">
        <f>IF(F22=0,"",F22-SUMIFS(Tasks!$I$2:$I$62,Tasks!$E$2:$E$62,A22,Tasks!$S$2:$S$62,"Y"))</f>
        <v/>
      </c>
      <c r="H22" s="23">
        <f>COUNTIFS(Tasks!$E$2:$E$62,A22,Tasks!$S$2:$S$62,"Y")</f>
        <v/>
      </c>
    </row>
    <row r="23">
      <c r="A23" s="22" t="n">
        <v>2</v>
      </c>
      <c r="B23" s="23">
        <f>COUNTIFS(Tasks!$E$2:$E$62,A23,Tasks!$I$2:$I$62,"&gt;0")</f>
        <v/>
      </c>
      <c r="C23" s="5">
        <f>SUMIFS(Tasks!$I$2:$I$62,Tasks!$E$2:$E$62,A23)</f>
        <v/>
      </c>
      <c r="D23" s="5">
        <f>SUMIFS(Tasks!$M$2:$M$62,Tasks!$E$2:$E$62,A23)</f>
        <v/>
      </c>
      <c r="E23" s="5">
        <f>SUMIFS(Tasks!$T$2:$T$62,Tasks!$E$2:$E$62,A23)</f>
        <v/>
      </c>
      <c r="F23" s="5">
        <f>SUMIFS(Tasks!$U$2:$U$62,Tasks!$E$2:$E$62,A23)</f>
        <v/>
      </c>
      <c r="G23" s="5">
        <f>IF(F23=0,"",F23-SUMIFS(Tasks!$I$2:$I$62,Tasks!$E$2:$E$62,A23,Tasks!$S$2:$S$62,"Y"))</f>
        <v/>
      </c>
      <c r="H23" s="23">
        <f>COUNTIFS(Tasks!$E$2:$E$62,A23,Tasks!$S$2:$S$62,"Y")</f>
        <v/>
      </c>
    </row>
    <row r="24">
      <c r="A24" s="22" t="n">
        <v>3</v>
      </c>
      <c r="B24" s="23">
        <f>COUNTIFS(Tasks!$E$2:$E$62,A24,Tasks!$I$2:$I$62,"&gt;0")</f>
        <v/>
      </c>
      <c r="C24" s="5">
        <f>SUMIFS(Tasks!$I$2:$I$62,Tasks!$E$2:$E$62,A24)</f>
        <v/>
      </c>
      <c r="D24" s="5">
        <f>SUMIFS(Tasks!$M$2:$M$62,Tasks!$E$2:$E$62,A24)</f>
        <v/>
      </c>
      <c r="E24" s="5">
        <f>SUMIFS(Tasks!$T$2:$T$62,Tasks!$E$2:$E$62,A24)</f>
        <v/>
      </c>
      <c r="F24" s="5">
        <f>SUMIFS(Tasks!$U$2:$U$62,Tasks!$E$2:$E$62,A24)</f>
        <v/>
      </c>
      <c r="G24" s="5">
        <f>IF(F24=0,"",F24-SUMIFS(Tasks!$I$2:$I$62,Tasks!$E$2:$E$62,A24,Tasks!$S$2:$S$62,"Y"))</f>
        <v/>
      </c>
      <c r="H24" s="23">
        <f>COUNTIFS(Tasks!$E$2:$E$62,A24,Tasks!$S$2:$S$62,"Y")</f>
        <v/>
      </c>
    </row>
    <row r="25">
      <c r="A25" s="22" t="n">
        <v>4</v>
      </c>
      <c r="B25" s="23">
        <f>COUNTIFS(Tasks!$E$2:$E$62,A25,Tasks!$I$2:$I$62,"&gt;0")</f>
        <v/>
      </c>
      <c r="C25" s="5">
        <f>SUMIFS(Tasks!$I$2:$I$62,Tasks!$E$2:$E$62,A25)</f>
        <v/>
      </c>
      <c r="D25" s="5">
        <f>SUMIFS(Tasks!$M$2:$M$62,Tasks!$E$2:$E$62,A25)</f>
        <v/>
      </c>
      <c r="E25" s="5">
        <f>SUMIFS(Tasks!$T$2:$T$62,Tasks!$E$2:$E$62,A25)</f>
        <v/>
      </c>
      <c r="F25" s="5">
        <f>SUMIFS(Tasks!$U$2:$U$62,Tasks!$E$2:$E$62,A25)</f>
        <v/>
      </c>
      <c r="G25" s="5">
        <f>IF(F25=0,"",F25-SUMIFS(Tasks!$I$2:$I$62,Tasks!$E$2:$E$62,A25,Tasks!$S$2:$S$62,"Y"))</f>
        <v/>
      </c>
      <c r="H25" s="23">
        <f>COUNTIFS(Tasks!$E$2:$E$62,A25,Tasks!$S$2:$S$62,"Y")</f>
        <v/>
      </c>
    </row>
    <row r="26">
      <c r="A26" s="22" t="n">
        <v>5</v>
      </c>
      <c r="B26" s="23">
        <f>COUNTIFS(Tasks!$E$2:$E$62,A26,Tasks!$I$2:$I$62,"&gt;0")</f>
        <v/>
      </c>
      <c r="C26" s="5">
        <f>SUMIFS(Tasks!$I$2:$I$62,Tasks!$E$2:$E$62,A26)</f>
        <v/>
      </c>
      <c r="D26" s="5">
        <f>SUMIFS(Tasks!$M$2:$M$62,Tasks!$E$2:$E$62,A26)</f>
        <v/>
      </c>
      <c r="E26" s="5">
        <f>SUMIFS(Tasks!$T$2:$T$62,Tasks!$E$2:$E$62,A26)</f>
        <v/>
      </c>
      <c r="F26" s="5">
        <f>SUMIFS(Tasks!$U$2:$U$62,Tasks!$E$2:$E$62,A26)</f>
        <v/>
      </c>
      <c r="G26" s="5">
        <f>IF(F26=0,"",F26-SUMIFS(Tasks!$I$2:$I$62,Tasks!$E$2:$E$62,A26,Tasks!$S$2:$S$62,"Y"))</f>
        <v/>
      </c>
      <c r="H26" s="23">
        <f>COUNTIFS(Tasks!$E$2:$E$62,A26,Tasks!$S$2:$S$62,"Y")</f>
        <v/>
      </c>
    </row>
    <row r="27">
      <c r="A27" s="24" t="inlineStr">
        <is>
          <t>Total</t>
        </is>
      </c>
      <c r="B27" s="24">
        <f>SUM(B22:B26)</f>
        <v/>
      </c>
      <c r="C27" s="9">
        <f>SUM(C22:C26)</f>
        <v/>
      </c>
      <c r="D27" s="9">
        <f>SUM(D22:D26)</f>
        <v/>
      </c>
      <c r="E27" s="9">
        <f>SUM(E22:E26)</f>
        <v/>
      </c>
      <c r="F27" s="9">
        <f>SUM(F22:F26)</f>
        <v/>
      </c>
      <c r="G27" s="8" t="n"/>
      <c r="H27" s="24">
        <f>SUM(H22:H26)</f>
        <v/>
      </c>
    </row>
    <row r="28"/>
    <row r="29">
      <c r="A29" s="19" t="inlineStr">
        <is>
          <t>Planning phases (actuals only; not estimated, not in the totals above)</t>
        </is>
      </c>
    </row>
    <row r="30" ht="32" customHeight="1">
      <c r="A30" s="1" t="inlineStr">
        <is>
          <t>Phase</t>
        </is>
      </c>
      <c r="B30" s="1" t="inlineStr">
        <is>
          <t>Agent</t>
        </is>
      </c>
      <c r="C30" s="1" t="inlineStr">
        <is>
          <t>Model / effort</t>
        </is>
      </c>
      <c r="D30" s="1" t="inlineStr">
        <is>
          <t>Runtime (min)</t>
        </is>
      </c>
      <c r="E30" s="1" t="inlineStr">
        <is>
          <t>Raw actual SP</t>
        </is>
      </c>
      <c r="F30" s="1" t="inlineStr">
        <is>
          <t>Accepted</t>
        </is>
      </c>
      <c r="G30" s="1" t="inlineStr">
        <is>
          <t>Source</t>
        </is>
      </c>
    </row>
    <row r="31">
      <c r="A31" s="2" t="inlineStr">
        <is>
          <t>Phase 1</t>
        </is>
      </c>
      <c r="B31" s="3" t="inlineStr">
        <is>
          <t>Product agent</t>
        </is>
      </c>
      <c r="C31" s="3" t="inlineStr">
        <is>
          <t>Opus 5.5 high</t>
        </is>
      </c>
      <c r="D31" s="18" t="n">
        <v>3.86</v>
      </c>
      <c r="E31" s="4">
        <f>D31/20</f>
        <v/>
      </c>
      <c r="F31" s="3" t="inlineStr">
        <is>
          <t>Y</t>
        </is>
      </c>
      <c r="G31" s="3" t="inlineStr">
        <is>
          <t>Sub-agent duration reported by Claude Code, 2026-10-19</t>
        </is>
      </c>
    </row>
    <row r="32">
      <c r="A32" s="2" t="inlineStr">
        <is>
          <t>Phase 2</t>
        </is>
      </c>
      <c r="B32" s="3" t="inlineStr">
        <is>
          <t>Dev lead agent</t>
        </is>
      </c>
      <c r="C32" s="3" t="inlineStr">
        <is>
          <t>Opus 5.5 high</t>
        </is>
      </c>
      <c r="D32" s="18" t="n">
        <v>11.56</v>
      </c>
      <c r="E32" s="4">
        <f>D32/20</f>
        <v/>
      </c>
      <c r="F32" s="3" t="inlineStr">
        <is>
          <t>Y</t>
        </is>
      </c>
      <c r="G32" s="3" t="inlineStr">
        <is>
          <t>Sub-agent duration reported by Claude Code, 2026-10-19</t>
        </is>
      </c>
    </row>
    <row r="33"/>
    <row r="34">
      <c r="A34" s="25" t="inlineStr">
        <is>
          <t>Later list (out of POC scope)</t>
        </is>
      </c>
      <c r="B34" s="25" t="n"/>
      <c r="C34" s="25" t="n"/>
      <c r="D34" s="25" t="n"/>
      <c r="E34" s="25" t="n"/>
      <c r="F34" s="25" t="n"/>
      <c r="G34" s="25" t="n"/>
      <c r="H34" s="25" t="n"/>
    </row>
    <row r="35">
      <c r="A35" s="25" t="inlineStr">
        <is>
          <t>Per-value taint, so external sends of unrelated values after a Legal read are allowed.</t>
        </is>
      </c>
    </row>
    <row r="36">
      <c r="A36" s="25" t="inlineStr">
        <is>
          <t>Per-record memory labels, instead of scoped audiences.</t>
        </is>
      </c>
    </row>
    <row r="37">
      <c r="A37" s="25" t="inlineStr">
        <is>
          <t>An LLM-driven agent instead of the scripted one.</t>
        </is>
      </c>
    </row>
    <row r="38">
      <c r="A38" s="25" t="inlineStr">
        <is>
          <t>A release workflow or UI for the review hold, beyond moving the file in Drive.</t>
        </is>
      </c>
    </row>
    <row r="39">
      <c r="A39" s="25" t="inlineStr">
        <is>
          <t>Real ID detectors (SSN, passport and so on) beyond the SPECIMEN format.</t>
        </is>
      </c>
    </row>
    <row r="40">
      <c r="A40" s="25" t="inlineStr">
        <is>
          <t>Google Docs, PDF and OCR input.</t>
        </is>
      </c>
    </row>
    <row r="41">
      <c r="A41" s="25" t="inlineStr">
        <is>
          <t>Per-team audiences (an Accounting list separate from `internal`).</t>
        </is>
      </c>
    </row>
    <row r="42">
      <c r="A42" s="25" t="inlineStr">
        <is>
          <t>Copies and summaries carrying the source clearance, and sanitizers or redaction.</t>
        </is>
      </c>
    </row>
    <row r="43">
      <c r="A43" s="25" t="inlineStr">
        <is>
          <t>Real email.</t>
        </is>
      </c>
    </row>
    <row r="44">
      <c r="A44" s="25" t="inlineStr">
        <is>
          <t>Drive webhooks.</t>
        </is>
      </c>
    </row>
    <row r="45">
      <c r="A45" s="25" t="inlineStr">
        <is>
          <t>Reclassifying a file when it is edited.</t>
        </is>
      </c>
    </row>
    <row r="46">
      <c r="A46" s="25" t="inlineStr">
        <is>
          <t>Hashirai Registry integration.</t>
        </is>
      </c>
    </row>
    <row r="47">
      <c r="A47" s="25" t="inlineStr">
        <is>
          <t>A decision-log viewer.</t>
        </is>
      </c>
    </row>
    <row r="48">
      <c r="A48" s="25" t="inlineStr">
        <is>
          <t>Retries, rate limits and deployment.</t>
        </is>
      </c>
    </row>
    <row r="49">
      <c r="A49" s="25" t="inlineStr">
        <is>
          <t>Poller durability: if the log write fails after a successful move, that classify line is lost. Persist pending lines and retry them.</t>
        </is>
      </c>
    </row>
    <row r="50">
      <c r="A50" s="25" t="inlineStr">
        <is>
          <t>A wider confidence margin for seed 10. It records at 0.66 against the 0.70 threshold, so a live re-record could cross it.</t>
        </is>
      </c>
    </row>
    <row r="51">
      <c r="A51" s="25" t="inlineStr">
        <is>
          <t>A faster reset on Workspace Drive (batch calls); today it takes 23–45 s.</t>
        </is>
      </c>
    </row>
  </sheetData>
  <mergeCells count="18">
    <mergeCell ref="A50:H50"/>
    <mergeCell ref="A48:H48"/>
    <mergeCell ref="A39:H39"/>
    <mergeCell ref="A2:H2"/>
    <mergeCell ref="A51:H51"/>
    <mergeCell ref="A42:H42"/>
    <mergeCell ref="A36:H36"/>
    <mergeCell ref="A49:H49"/>
    <mergeCell ref="A47:H47"/>
    <mergeCell ref="A45:H45"/>
    <mergeCell ref="A46:H46"/>
    <mergeCell ref="A35:H35"/>
    <mergeCell ref="A43:H43"/>
    <mergeCell ref="A38:H38"/>
    <mergeCell ref="A41:H41"/>
    <mergeCell ref="A44:H44"/>
    <mergeCell ref="A37:H37"/>
    <mergeCell ref="A40:H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2026-10-19T12:26:03Z</dcterms:created>
  <dcterms:modified xsi:type="dcterms:W3CDTF">2026-10-19T14:07:08Z</dcterms:modified>
</cp:coreProperties>
</file>